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c2234f8afc0825c2/Documents/Teaching/IIM Mumbai/Latticework/Lec 06/"/>
    </mc:Choice>
  </mc:AlternateContent>
  <xr:revisionPtr revIDLastSave="47" documentId="11_5CF5C321457A62AF78D49D860CB62D97906367B7" xr6:coauthVersionLast="47" xr6:coauthVersionMax="47" xr10:uidLastSave="{BD9F08F9-A8C7-40E0-A08E-D9E1463F6DE7}"/>
  <bookViews>
    <workbookView xWindow="-110" yWindow="-110" windowWidth="19420" windowHeight="11500" firstSheet="4" activeTab="6" xr2:uid="{00000000-000D-0000-FFFF-FFFF00000000}"/>
  </bookViews>
  <sheets>
    <sheet name="README" sheetId="1" r:id="rId1"/>
    <sheet name="Inputs" sheetId="2" r:id="rId2"/>
    <sheet name="Case1_Calm" sheetId="3" r:id="rId3"/>
    <sheet name="Case2A_Ruin_ConstRates" sheetId="4" r:id="rId4"/>
    <sheet name="Case2B_Ruin_ChangingRates" sheetId="5" r:id="rId5"/>
    <sheet name="Case2C_Changing_SellToFund" sheetId="6" r:id="rId6"/>
    <sheet name="Comparison" sheetId="7" r:id="rId7"/>
  </sheets>
  <definedNames>
    <definedName name="AAAAAAAAA1">Comparison!$ALA$1</definedName>
    <definedName name="Dividend_Yield_pa">Inputs!$C$16</definedName>
    <definedName name="Entry_Driver">Inputs!$C$14</definedName>
    <definedName name="Entry_Financing_Rate">Inputs!$C$21</definedName>
    <definedName name="Gross_Leverage">Inputs!$C$11</definedName>
    <definedName name="Initial_Loan">Inputs!$C$13</definedName>
    <definedName name="Initial_Margin_Rate">Inputs!$C$18</definedName>
    <definedName name="Initial_Margin_Req">Inputs!$C$19</definedName>
    <definedName name="Initial_Position_Value">Inputs!$C$12</definedName>
    <definedName name="Liquidation_Slippage">Inputs!$C$17</definedName>
    <definedName name="Liquidity_Reserve_0">Inputs!$C$10</definedName>
    <definedName name="Period_Length_Yrs">Inputs!$C$7</definedName>
    <definedName name="Period_Unit">Inputs!$C$5</definedName>
    <definedName name="Periods_per_Year">Inputs!$C$6</definedName>
    <definedName name="Sell_To_Fund" localSheetId="2">Case1_Calm!$D$4</definedName>
    <definedName name="Sell_To_Fund" localSheetId="3">Case2A_Ruin_ConstRates!$D$4</definedName>
    <definedName name="Sell_To_Fund" localSheetId="4">Case2B_Ruin_ChangingRates!$D$4</definedName>
    <definedName name="Sell_To_Fund" localSheetId="5">Case2C_Changing_SellToFund!$D$4</definedName>
    <definedName name="Starting_Equity">Inputs!$C$9</definedName>
    <definedName name="Target_Driver">Inputs!$C$15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8" i="3" l="1"/>
  <c r="E59" i="6"/>
  <c r="D59" i="6"/>
  <c r="C59" i="6"/>
  <c r="B59" i="6"/>
  <c r="E58" i="6"/>
  <c r="D58" i="6"/>
  <c r="C58" i="6"/>
  <c r="B58" i="6"/>
  <c r="E57" i="6"/>
  <c r="D57" i="6"/>
  <c r="C57" i="6"/>
  <c r="B57" i="6"/>
  <c r="E56" i="6"/>
  <c r="D56" i="6"/>
  <c r="C56" i="6"/>
  <c r="B56" i="6"/>
  <c r="E55" i="6"/>
  <c r="D55" i="6"/>
  <c r="C55" i="6"/>
  <c r="B55" i="6"/>
  <c r="E54" i="6"/>
  <c r="D54" i="6"/>
  <c r="C54" i="6"/>
  <c r="B54" i="6"/>
  <c r="E53" i="6"/>
  <c r="D53" i="6"/>
  <c r="C53" i="6"/>
  <c r="F53" i="6" s="1"/>
  <c r="B53" i="6"/>
  <c r="E52" i="6"/>
  <c r="D52" i="6"/>
  <c r="C52" i="6"/>
  <c r="B52" i="6"/>
  <c r="E51" i="6"/>
  <c r="D51" i="6"/>
  <c r="C51" i="6"/>
  <c r="B51" i="6"/>
  <c r="E50" i="6"/>
  <c r="D50" i="6"/>
  <c r="C50" i="6"/>
  <c r="B50" i="6"/>
  <c r="E49" i="6"/>
  <c r="D49" i="6"/>
  <c r="C49" i="6"/>
  <c r="B49" i="6"/>
  <c r="E48" i="6"/>
  <c r="D48" i="6"/>
  <c r="C48" i="6"/>
  <c r="B48" i="6"/>
  <c r="E47" i="6"/>
  <c r="D47" i="6"/>
  <c r="C47" i="6"/>
  <c r="B47" i="6"/>
  <c r="E46" i="6"/>
  <c r="D46" i="6"/>
  <c r="C46" i="6"/>
  <c r="B46" i="6"/>
  <c r="E45" i="6"/>
  <c r="D45" i="6"/>
  <c r="C45" i="6"/>
  <c r="B45" i="6"/>
  <c r="E44" i="6"/>
  <c r="D44" i="6"/>
  <c r="C44" i="6"/>
  <c r="B44" i="6"/>
  <c r="E43" i="6"/>
  <c r="D43" i="6"/>
  <c r="C43" i="6"/>
  <c r="B43" i="6"/>
  <c r="E42" i="6"/>
  <c r="D42" i="6"/>
  <c r="C42" i="6"/>
  <c r="B42" i="6"/>
  <c r="E41" i="6"/>
  <c r="D41" i="6"/>
  <c r="C41" i="6"/>
  <c r="B41" i="6"/>
  <c r="E40" i="6"/>
  <c r="D40" i="6"/>
  <c r="C40" i="6"/>
  <c r="F40" i="6" s="1"/>
  <c r="B40" i="6"/>
  <c r="E39" i="6"/>
  <c r="D39" i="6"/>
  <c r="C39" i="6"/>
  <c r="B39" i="6"/>
  <c r="E38" i="6"/>
  <c r="D38" i="6"/>
  <c r="C38" i="6"/>
  <c r="B38" i="6"/>
  <c r="E37" i="6"/>
  <c r="D37" i="6"/>
  <c r="C37" i="6"/>
  <c r="B37" i="6"/>
  <c r="E36" i="6"/>
  <c r="D36" i="6"/>
  <c r="C36" i="6"/>
  <c r="B36" i="6"/>
  <c r="E35" i="6"/>
  <c r="D35" i="6"/>
  <c r="C35" i="6"/>
  <c r="B35" i="6"/>
  <c r="E34" i="6"/>
  <c r="D34" i="6"/>
  <c r="C34" i="6"/>
  <c r="B34" i="6"/>
  <c r="E33" i="6"/>
  <c r="D33" i="6"/>
  <c r="C33" i="6"/>
  <c r="F33" i="6" s="1"/>
  <c r="B33" i="6"/>
  <c r="E32" i="6"/>
  <c r="D32" i="6"/>
  <c r="C32" i="6"/>
  <c r="B32" i="6"/>
  <c r="E31" i="6"/>
  <c r="D31" i="6"/>
  <c r="C31" i="6"/>
  <c r="B31" i="6"/>
  <c r="E30" i="6"/>
  <c r="D30" i="6"/>
  <c r="C30" i="6"/>
  <c r="B30" i="6"/>
  <c r="E29" i="6"/>
  <c r="D29" i="6"/>
  <c r="C29" i="6"/>
  <c r="B29" i="6"/>
  <c r="G28" i="6"/>
  <c r="E28" i="6"/>
  <c r="D28" i="6"/>
  <c r="C28" i="6"/>
  <c r="B28" i="6"/>
  <c r="W27" i="6"/>
  <c r="U27" i="6"/>
  <c r="Z27" i="6" s="1"/>
  <c r="AD27" i="6" s="1"/>
  <c r="E27" i="6"/>
  <c r="D27" i="6"/>
  <c r="C27" i="6"/>
  <c r="B27" i="6"/>
  <c r="D6" i="6"/>
  <c r="F5" i="7" s="1"/>
  <c r="F59" i="5"/>
  <c r="B59" i="5"/>
  <c r="F58" i="5"/>
  <c r="B58" i="5"/>
  <c r="F57" i="5"/>
  <c r="B57" i="5"/>
  <c r="F56" i="5"/>
  <c r="B56" i="5"/>
  <c r="F55" i="5"/>
  <c r="B55" i="5"/>
  <c r="F54" i="5"/>
  <c r="B54" i="5"/>
  <c r="F53" i="5"/>
  <c r="B53" i="5"/>
  <c r="F52" i="5"/>
  <c r="B52" i="5"/>
  <c r="F51" i="5"/>
  <c r="B51" i="5"/>
  <c r="F50" i="5"/>
  <c r="B50" i="5"/>
  <c r="F49" i="5"/>
  <c r="B49" i="5"/>
  <c r="F48" i="5"/>
  <c r="B48" i="5"/>
  <c r="F47" i="5"/>
  <c r="B47" i="5"/>
  <c r="F46" i="5"/>
  <c r="B46" i="5"/>
  <c r="F45" i="5"/>
  <c r="B45" i="5"/>
  <c r="F44" i="5"/>
  <c r="B44" i="5"/>
  <c r="F43" i="5"/>
  <c r="B43" i="5"/>
  <c r="F42" i="5"/>
  <c r="B42" i="5"/>
  <c r="F41" i="5"/>
  <c r="B41" i="5"/>
  <c r="F40" i="5"/>
  <c r="B40" i="5"/>
  <c r="F39" i="5"/>
  <c r="B39" i="5"/>
  <c r="F38" i="5"/>
  <c r="B38" i="5"/>
  <c r="F37" i="5"/>
  <c r="B37" i="5"/>
  <c r="F36" i="5"/>
  <c r="B36" i="5"/>
  <c r="F35" i="5"/>
  <c r="B35" i="5"/>
  <c r="F34" i="5"/>
  <c r="B34" i="5"/>
  <c r="F33" i="5"/>
  <c r="B33" i="5"/>
  <c r="F32" i="5"/>
  <c r="B32" i="5"/>
  <c r="F31" i="5"/>
  <c r="B31" i="5"/>
  <c r="F30" i="5"/>
  <c r="B30" i="5"/>
  <c r="F29" i="5"/>
  <c r="B29" i="5"/>
  <c r="G28" i="5"/>
  <c r="B28" i="5"/>
  <c r="W27" i="5"/>
  <c r="U27" i="5"/>
  <c r="Z27" i="5" s="1"/>
  <c r="AD27" i="5" s="1"/>
  <c r="E27" i="5"/>
  <c r="D27" i="5"/>
  <c r="C27" i="5"/>
  <c r="F28" i="5" s="1"/>
  <c r="B27" i="5"/>
  <c r="D16" i="5"/>
  <c r="E15" i="7" s="1"/>
  <c r="D15" i="5"/>
  <c r="E14" i="7" s="1"/>
  <c r="D6" i="5"/>
  <c r="E5" i="7" s="1"/>
  <c r="F59" i="4"/>
  <c r="B59" i="4"/>
  <c r="F58" i="4"/>
  <c r="B58" i="4"/>
  <c r="F57" i="4"/>
  <c r="B57" i="4"/>
  <c r="F56" i="4"/>
  <c r="B56" i="4"/>
  <c r="F55" i="4"/>
  <c r="B55" i="4"/>
  <c r="F54" i="4"/>
  <c r="B54" i="4"/>
  <c r="F53" i="4"/>
  <c r="B53" i="4"/>
  <c r="F52" i="4"/>
  <c r="B52" i="4"/>
  <c r="F51" i="4"/>
  <c r="B51" i="4"/>
  <c r="F50" i="4"/>
  <c r="B50" i="4"/>
  <c r="F49" i="4"/>
  <c r="B49" i="4"/>
  <c r="F48" i="4"/>
  <c r="B48" i="4"/>
  <c r="F47" i="4"/>
  <c r="B47" i="4"/>
  <c r="F46" i="4"/>
  <c r="B46" i="4"/>
  <c r="F45" i="4"/>
  <c r="B45" i="4"/>
  <c r="F44" i="4"/>
  <c r="B44" i="4"/>
  <c r="F43" i="4"/>
  <c r="B43" i="4"/>
  <c r="F42" i="4"/>
  <c r="B42" i="4"/>
  <c r="F41" i="4"/>
  <c r="B41" i="4"/>
  <c r="F40" i="4"/>
  <c r="B40" i="4"/>
  <c r="F39" i="4"/>
  <c r="B39" i="4"/>
  <c r="F38" i="4"/>
  <c r="B38" i="4"/>
  <c r="F37" i="4"/>
  <c r="B37" i="4"/>
  <c r="F36" i="4"/>
  <c r="B36" i="4"/>
  <c r="F35" i="4"/>
  <c r="B35" i="4"/>
  <c r="F34" i="4"/>
  <c r="B34" i="4"/>
  <c r="F33" i="4"/>
  <c r="B33" i="4"/>
  <c r="F32" i="4"/>
  <c r="B32" i="4"/>
  <c r="F31" i="4"/>
  <c r="B31" i="4"/>
  <c r="F30" i="4"/>
  <c r="B30" i="4"/>
  <c r="F29" i="4"/>
  <c r="B29" i="4"/>
  <c r="G28" i="4"/>
  <c r="B28" i="4"/>
  <c r="W27" i="4"/>
  <c r="U27" i="4"/>
  <c r="Z27" i="4" s="1"/>
  <c r="AD27" i="4" s="1"/>
  <c r="E27" i="4"/>
  <c r="D27" i="4"/>
  <c r="C27" i="4"/>
  <c r="F28" i="4" s="1"/>
  <c r="B27" i="4"/>
  <c r="D16" i="4"/>
  <c r="D15" i="7" s="1"/>
  <c r="D15" i="4"/>
  <c r="D14" i="7" s="1"/>
  <c r="D6" i="4"/>
  <c r="D5" i="7" s="1"/>
  <c r="F59" i="3"/>
  <c r="B59" i="3"/>
  <c r="F58" i="3"/>
  <c r="B58" i="3"/>
  <c r="F57" i="3"/>
  <c r="B57" i="3"/>
  <c r="F56" i="3"/>
  <c r="B56" i="3"/>
  <c r="F55" i="3"/>
  <c r="B55" i="3"/>
  <c r="F54" i="3"/>
  <c r="B54" i="3"/>
  <c r="F53" i="3"/>
  <c r="B53" i="3"/>
  <c r="F52" i="3"/>
  <c r="B52" i="3"/>
  <c r="F51" i="3"/>
  <c r="B51" i="3"/>
  <c r="F50" i="3"/>
  <c r="B50" i="3"/>
  <c r="F49" i="3"/>
  <c r="B49" i="3"/>
  <c r="F48" i="3"/>
  <c r="B48" i="3"/>
  <c r="F47" i="3"/>
  <c r="B47" i="3"/>
  <c r="F46" i="3"/>
  <c r="B46" i="3"/>
  <c r="F45" i="3"/>
  <c r="B45" i="3"/>
  <c r="F44" i="3"/>
  <c r="B44" i="3"/>
  <c r="F43" i="3"/>
  <c r="B43" i="3"/>
  <c r="F42" i="3"/>
  <c r="B42" i="3"/>
  <c r="F41" i="3"/>
  <c r="B41" i="3"/>
  <c r="F40" i="3"/>
  <c r="B40" i="3"/>
  <c r="F39" i="3"/>
  <c r="B39" i="3"/>
  <c r="F38" i="3"/>
  <c r="B38" i="3"/>
  <c r="F37" i="3"/>
  <c r="B37" i="3"/>
  <c r="F36" i="3"/>
  <c r="B36" i="3"/>
  <c r="F35" i="3"/>
  <c r="B35" i="3"/>
  <c r="F34" i="3"/>
  <c r="B34" i="3"/>
  <c r="F33" i="3"/>
  <c r="B33" i="3"/>
  <c r="F32" i="3"/>
  <c r="B32" i="3"/>
  <c r="F31" i="3"/>
  <c r="B31" i="3"/>
  <c r="F30" i="3"/>
  <c r="B30" i="3"/>
  <c r="F29" i="3"/>
  <c r="B29" i="3"/>
  <c r="G28" i="3"/>
  <c r="B28" i="3"/>
  <c r="W27" i="3"/>
  <c r="U27" i="3"/>
  <c r="Z27" i="3" s="1"/>
  <c r="AD27" i="3" s="1"/>
  <c r="E27" i="3"/>
  <c r="D27" i="3"/>
  <c r="C27" i="3"/>
  <c r="F28" i="3" s="1"/>
  <c r="B27" i="3"/>
  <c r="D16" i="3"/>
  <c r="C15" i="7" s="1"/>
  <c r="D15" i="3"/>
  <c r="C14" i="7" s="1"/>
  <c r="D6" i="3"/>
  <c r="C5" i="7" s="1"/>
  <c r="C12" i="2"/>
  <c r="C7" i="2"/>
  <c r="F59" i="6" l="1"/>
  <c r="F58" i="6"/>
  <c r="F57" i="6"/>
  <c r="F56" i="6"/>
  <c r="F55" i="6"/>
  <c r="F54" i="6"/>
  <c r="F47" i="6"/>
  <c r="F46" i="6"/>
  <c r="F44" i="6"/>
  <c r="F42" i="6"/>
  <c r="F41" i="6"/>
  <c r="F52" i="6"/>
  <c r="F51" i="6"/>
  <c r="F50" i="6"/>
  <c r="F49" i="6"/>
  <c r="F48" i="6"/>
  <c r="F45" i="6"/>
  <c r="F43" i="6"/>
  <c r="D16" i="6"/>
  <c r="F15" i="7" s="1"/>
  <c r="F39" i="6"/>
  <c r="F38" i="6"/>
  <c r="F37" i="6"/>
  <c r="F36" i="6"/>
  <c r="F35" i="6"/>
  <c r="F34" i="6"/>
  <c r="F28" i="6"/>
  <c r="F32" i="6"/>
  <c r="F31" i="6"/>
  <c r="F30" i="6"/>
  <c r="F29" i="6"/>
  <c r="D15" i="6"/>
  <c r="F14" i="7" s="1"/>
  <c r="AA27" i="6"/>
  <c r="AH27" i="3"/>
  <c r="H28" i="3" s="1"/>
  <c r="AH27" i="6"/>
  <c r="H28" i="6" s="1"/>
  <c r="AH27" i="5"/>
  <c r="H28" i="5" s="1"/>
  <c r="AA27" i="5"/>
  <c r="M27" i="5"/>
  <c r="M27" i="6"/>
  <c r="AH27" i="4"/>
  <c r="H28" i="4" s="1"/>
  <c r="M27" i="4"/>
  <c r="C19" i="2"/>
  <c r="C20" i="2" s="1"/>
  <c r="AA27" i="4"/>
  <c r="AA27" i="3"/>
  <c r="M27" i="3"/>
  <c r="C13" i="2"/>
  <c r="I28" i="6" l="1"/>
  <c r="J28" i="6"/>
  <c r="M28" i="6"/>
  <c r="I28" i="5"/>
  <c r="J28" i="5"/>
  <c r="M28" i="5"/>
  <c r="M28" i="4"/>
  <c r="J28" i="4"/>
  <c r="I28" i="4"/>
  <c r="J28" i="3"/>
  <c r="M28" i="3"/>
  <c r="I28" i="3"/>
  <c r="AA28" i="6"/>
  <c r="AA28" i="5"/>
  <c r="AA28" i="4"/>
  <c r="AA28" i="3"/>
  <c r="AB27" i="4"/>
  <c r="V27" i="5"/>
  <c r="AB27" i="5"/>
  <c r="V27" i="3"/>
  <c r="V27" i="6"/>
  <c r="AB27" i="6"/>
  <c r="AB27" i="3"/>
  <c r="V27" i="4"/>
  <c r="AB28" i="5" l="1"/>
  <c r="AC27" i="5"/>
  <c r="AB28" i="6"/>
  <c r="AC27" i="6"/>
  <c r="AB28" i="3"/>
  <c r="AC27" i="3"/>
  <c r="P28" i="6"/>
  <c r="P28" i="5"/>
  <c r="P28" i="4"/>
  <c r="P28" i="3"/>
  <c r="AC28" i="6"/>
  <c r="AA29" i="6"/>
  <c r="AC28" i="5"/>
  <c r="AA29" i="5"/>
  <c r="AA29" i="4"/>
  <c r="AA29" i="3"/>
  <c r="AC28" i="3"/>
  <c r="K28" i="5"/>
  <c r="K28" i="3"/>
  <c r="K28" i="6"/>
  <c r="L28" i="6" s="1"/>
  <c r="N28" i="6"/>
  <c r="O28" i="6" s="1"/>
  <c r="K28" i="4"/>
  <c r="AB29" i="5"/>
  <c r="AB29" i="6"/>
  <c r="AB29" i="3"/>
  <c r="AB28" i="4"/>
  <c r="AC27" i="4"/>
  <c r="L28" i="3" l="1"/>
  <c r="O28" i="3"/>
  <c r="Q28" i="3" s="1"/>
  <c r="AB29" i="4"/>
  <c r="AC28" i="4"/>
  <c r="R28" i="3"/>
  <c r="S28" i="3" s="1"/>
  <c r="AC29" i="6"/>
  <c r="AA30" i="6"/>
  <c r="AC29" i="5"/>
  <c r="AA30" i="5"/>
  <c r="AB30" i="4"/>
  <c r="AC29" i="4"/>
  <c r="AA30" i="4"/>
  <c r="AC29" i="3"/>
  <c r="AA30" i="3"/>
  <c r="AB30" i="5"/>
  <c r="AB30" i="6"/>
  <c r="AB30" i="3"/>
  <c r="AB31" i="3" s="1"/>
  <c r="Q28" i="6"/>
  <c r="N28" i="5"/>
  <c r="O28" i="5" s="1"/>
  <c r="Q28" i="5" s="1"/>
  <c r="L28" i="5"/>
  <c r="L28" i="4"/>
  <c r="N28" i="4"/>
  <c r="O28" i="4" s="1"/>
  <c r="Q28" i="4" s="1"/>
  <c r="AB31" i="4" l="1"/>
  <c r="V28" i="3"/>
  <c r="AH28" i="3"/>
  <c r="U28" i="3"/>
  <c r="AG28" i="3"/>
  <c r="X28" i="3" s="1"/>
  <c r="G29" i="3" s="1"/>
  <c r="AI28" i="3"/>
  <c r="T28" i="3"/>
  <c r="AF28" i="3"/>
  <c r="W28" i="3"/>
  <c r="AC30" i="6"/>
  <c r="AA31" i="6"/>
  <c r="AC30" i="5"/>
  <c r="AA31" i="5"/>
  <c r="AC30" i="4"/>
  <c r="AA31" i="4"/>
  <c r="AA31" i="3"/>
  <c r="AC30" i="3"/>
  <c r="R28" i="6"/>
  <c r="S28" i="6" s="1"/>
  <c r="R28" i="5"/>
  <c r="S28" i="5" s="1"/>
  <c r="R28" i="4"/>
  <c r="S28" i="4" s="1"/>
  <c r="AB31" i="5"/>
  <c r="AB32" i="5" s="1"/>
  <c r="AB31" i="6"/>
  <c r="AB32" i="6" s="1"/>
  <c r="Z28" i="3" l="1"/>
  <c r="K29" i="3"/>
  <c r="H29" i="3"/>
  <c r="AD28" i="3"/>
  <c r="AE28" i="3" s="1"/>
  <c r="Y28" i="3"/>
  <c r="AC31" i="6"/>
  <c r="AA32" i="6"/>
  <c r="AC31" i="5"/>
  <c r="AA32" i="5"/>
  <c r="AB32" i="4"/>
  <c r="AC31" i="4"/>
  <c r="AA32" i="4"/>
  <c r="AB32" i="3"/>
  <c r="AC31" i="3"/>
  <c r="AA32" i="3"/>
  <c r="W28" i="6"/>
  <c r="V28" i="6"/>
  <c r="U28" i="6"/>
  <c r="AH28" i="6"/>
  <c r="T28" i="6"/>
  <c r="AG28" i="6"/>
  <c r="AI28" i="6"/>
  <c r="U28" i="5"/>
  <c r="V28" i="5"/>
  <c r="AH28" i="5"/>
  <c r="T28" i="5"/>
  <c r="AG28" i="5"/>
  <c r="AI28" i="5"/>
  <c r="W28" i="5"/>
  <c r="AH28" i="4"/>
  <c r="U28" i="4"/>
  <c r="V28" i="4"/>
  <c r="AG28" i="4"/>
  <c r="T28" i="4"/>
  <c r="W28" i="4"/>
  <c r="Z28" i="6" l="1"/>
  <c r="X28" i="4"/>
  <c r="G29" i="4" s="1"/>
  <c r="AI28" i="4"/>
  <c r="AF28" i="4"/>
  <c r="Y28" i="4" s="1"/>
  <c r="J29" i="3"/>
  <c r="N29" i="3" s="1"/>
  <c r="I29" i="3"/>
  <c r="L29" i="3" s="1"/>
  <c r="M29" i="3"/>
  <c r="AB33" i="6"/>
  <c r="AB34" i="6" s="1"/>
  <c r="AC32" i="6"/>
  <c r="AA33" i="6"/>
  <c r="AB33" i="5"/>
  <c r="AC32" i="5"/>
  <c r="AA33" i="5"/>
  <c r="AC32" i="4"/>
  <c r="AA33" i="4"/>
  <c r="AA33" i="3"/>
  <c r="AC32" i="3"/>
  <c r="AD28" i="6"/>
  <c r="AE28" i="6" s="1"/>
  <c r="H29" i="4"/>
  <c r="K29" i="4"/>
  <c r="Z28" i="5"/>
  <c r="Z28" i="4"/>
  <c r="AB33" i="4"/>
  <c r="AB33" i="3"/>
  <c r="X28" i="6"/>
  <c r="G29" i="6" s="1"/>
  <c r="AF28" i="6"/>
  <c r="X28" i="5"/>
  <c r="G29" i="5" s="1"/>
  <c r="AF28" i="5"/>
  <c r="P29" i="3" l="1"/>
  <c r="O29" i="3"/>
  <c r="AC33" i="6"/>
  <c r="AA34" i="6"/>
  <c r="AC33" i="5"/>
  <c r="AA34" i="5"/>
  <c r="AA34" i="4"/>
  <c r="AC33" i="4"/>
  <c r="AC33" i="3"/>
  <c r="AA34" i="3"/>
  <c r="J29" i="4"/>
  <c r="N29" i="4" s="1"/>
  <c r="I29" i="4"/>
  <c r="L29" i="4" s="1"/>
  <c r="M29" i="4"/>
  <c r="AD28" i="5"/>
  <c r="AE28" i="5" s="1"/>
  <c r="AD28" i="4"/>
  <c r="AE28" i="4" s="1"/>
  <c r="H29" i="6"/>
  <c r="K29" i="6"/>
  <c r="Y28" i="6"/>
  <c r="H29" i="5"/>
  <c r="K29" i="5"/>
  <c r="Y28" i="5"/>
  <c r="AB34" i="4"/>
  <c r="AB34" i="3"/>
  <c r="AB34" i="5"/>
  <c r="AB35" i="6" l="1"/>
  <c r="AC34" i="6"/>
  <c r="AA35" i="6"/>
  <c r="AC34" i="5"/>
  <c r="AA35" i="5"/>
  <c r="AC34" i="4"/>
  <c r="AA35" i="4"/>
  <c r="AA35" i="3"/>
  <c r="AC34" i="3"/>
  <c r="P29" i="4"/>
  <c r="O29" i="4"/>
  <c r="I29" i="6"/>
  <c r="J29" i="6"/>
  <c r="N29" i="6" s="1"/>
  <c r="M29" i="6"/>
  <c r="I29" i="5"/>
  <c r="J29" i="5"/>
  <c r="N29" i="5" s="1"/>
  <c r="M29" i="5"/>
  <c r="AB35" i="3"/>
  <c r="AB36" i="3" s="1"/>
  <c r="AB35" i="5"/>
  <c r="AB35" i="4"/>
  <c r="Q29" i="3"/>
  <c r="AC35" i="6" l="1"/>
  <c r="AA36" i="6"/>
  <c r="AC35" i="5"/>
  <c r="AA36" i="5"/>
  <c r="AA36" i="4"/>
  <c r="AC35" i="4"/>
  <c r="AA36" i="3"/>
  <c r="AC35" i="3"/>
  <c r="P29" i="6"/>
  <c r="O29" i="6"/>
  <c r="O29" i="5"/>
  <c r="P29" i="5"/>
  <c r="Q29" i="5" s="1"/>
  <c r="R29" i="3"/>
  <c r="S29" i="3" s="1"/>
  <c r="AB36" i="6"/>
  <c r="AB37" i="6" s="1"/>
  <c r="Q29" i="4"/>
  <c r="L29" i="6"/>
  <c r="L29" i="5"/>
  <c r="AB36" i="5"/>
  <c r="AB37" i="5" s="1"/>
  <c r="AB36" i="4"/>
  <c r="AB37" i="4" s="1"/>
  <c r="AC36" i="6" l="1"/>
  <c r="AA37" i="6"/>
  <c r="AC36" i="5"/>
  <c r="AA37" i="5"/>
  <c r="AC36" i="4"/>
  <c r="AA37" i="4"/>
  <c r="AB37" i="3"/>
  <c r="AC36" i="3"/>
  <c r="AA37" i="3"/>
  <c r="R29" i="5"/>
  <c r="S29" i="5" s="1"/>
  <c r="V29" i="3"/>
  <c r="U29" i="3"/>
  <c r="Z29" i="3" s="1"/>
  <c r="AH29" i="3"/>
  <c r="T29" i="3"/>
  <c r="AG29" i="3"/>
  <c r="W29" i="3"/>
  <c r="R29" i="4"/>
  <c r="S29" i="4" s="1"/>
  <c r="Q29" i="6"/>
  <c r="X29" i="3" l="1"/>
  <c r="G30" i="3" s="1"/>
  <c r="AF29" i="3"/>
  <c r="AI29" i="3"/>
  <c r="AB38" i="6"/>
  <c r="AC37" i="6"/>
  <c r="AA38" i="6"/>
  <c r="AB38" i="5"/>
  <c r="AC37" i="5"/>
  <c r="AA38" i="5"/>
  <c r="AB38" i="4"/>
  <c r="AC37" i="4"/>
  <c r="AA38" i="4"/>
  <c r="AA38" i="3"/>
  <c r="AC37" i="3"/>
  <c r="W29" i="5"/>
  <c r="AH29" i="5"/>
  <c r="V29" i="5"/>
  <c r="U29" i="5"/>
  <c r="T29" i="5"/>
  <c r="AG29" i="5"/>
  <c r="AI29" i="5"/>
  <c r="AD29" i="3"/>
  <c r="AE29" i="3" s="1"/>
  <c r="H30" i="3"/>
  <c r="K30" i="3"/>
  <c r="Y29" i="3"/>
  <c r="AH29" i="4"/>
  <c r="V29" i="4"/>
  <c r="U29" i="4"/>
  <c r="AG29" i="4"/>
  <c r="X29" i="4" s="1"/>
  <c r="G30" i="4" s="1"/>
  <c r="T29" i="4"/>
  <c r="AF29" i="4"/>
  <c r="AI29" i="4"/>
  <c r="W29" i="4"/>
  <c r="R29" i="6"/>
  <c r="S29" i="6" s="1"/>
  <c r="AB38" i="3"/>
  <c r="AB39" i="4" l="1"/>
  <c r="Z29" i="5"/>
  <c r="X29" i="5"/>
  <c r="G30" i="5" s="1"/>
  <c r="AF29" i="5"/>
  <c r="AC38" i="6"/>
  <c r="AA39" i="6"/>
  <c r="AC38" i="5"/>
  <c r="AA39" i="5"/>
  <c r="AC38" i="4"/>
  <c r="AA39" i="4"/>
  <c r="AA39" i="3"/>
  <c r="AC38" i="3"/>
  <c r="K30" i="5"/>
  <c r="H30" i="5"/>
  <c r="AD29" i="5"/>
  <c r="AE29" i="5" s="1"/>
  <c r="Y29" i="5"/>
  <c r="I30" i="3"/>
  <c r="M30" i="3"/>
  <c r="J30" i="3"/>
  <c r="N30" i="3" s="1"/>
  <c r="K30" i="4"/>
  <c r="H30" i="4"/>
  <c r="Y29" i="4"/>
  <c r="W29" i="6"/>
  <c r="AH29" i="6"/>
  <c r="V29" i="6"/>
  <c r="U29" i="6"/>
  <c r="Z29" i="6" s="1"/>
  <c r="T29" i="6"/>
  <c r="AG29" i="6"/>
  <c r="AB39" i="6"/>
  <c r="AB40" i="6" s="1"/>
  <c r="AB39" i="5"/>
  <c r="AB40" i="5" s="1"/>
  <c r="Z29" i="4"/>
  <c r="AB39" i="3"/>
  <c r="AC39" i="6" l="1"/>
  <c r="AA40" i="6"/>
  <c r="AC39" i="5"/>
  <c r="AA40" i="5"/>
  <c r="AB40" i="4"/>
  <c r="AC39" i="4"/>
  <c r="AA40" i="4"/>
  <c r="AA40" i="3"/>
  <c r="AC39" i="3"/>
  <c r="I30" i="5"/>
  <c r="L30" i="5" s="1"/>
  <c r="J30" i="5"/>
  <c r="N30" i="5" s="1"/>
  <c r="M30" i="5"/>
  <c r="O30" i="3"/>
  <c r="P30" i="3"/>
  <c r="Q30" i="3" s="1"/>
  <c r="J30" i="4"/>
  <c r="N30" i="4" s="1"/>
  <c r="I30" i="4"/>
  <c r="L30" i="4" s="1"/>
  <c r="M30" i="4"/>
  <c r="AD29" i="6"/>
  <c r="AE29" i="6" s="1"/>
  <c r="AD29" i="4"/>
  <c r="AE29" i="4" s="1"/>
  <c r="L30" i="3"/>
  <c r="AB40" i="3"/>
  <c r="AB41" i="3" s="1"/>
  <c r="X29" i="6"/>
  <c r="G30" i="6" s="1"/>
  <c r="AF29" i="6"/>
  <c r="AI29" i="6"/>
  <c r="AB41" i="4" l="1"/>
  <c r="AB41" i="6"/>
  <c r="AB42" i="6" s="1"/>
  <c r="AC40" i="6"/>
  <c r="AA41" i="6"/>
  <c r="AB41" i="5"/>
  <c r="AC40" i="5"/>
  <c r="AA41" i="5"/>
  <c r="AC40" i="4"/>
  <c r="AA41" i="4"/>
  <c r="AC40" i="3"/>
  <c r="AA41" i="3"/>
  <c r="O30" i="5"/>
  <c r="P30" i="5"/>
  <c r="Q30" i="5" s="1"/>
  <c r="R30" i="3"/>
  <c r="S30" i="3" s="1"/>
  <c r="P30" i="4"/>
  <c r="O30" i="4"/>
  <c r="H30" i="6"/>
  <c r="K30" i="6"/>
  <c r="Y29" i="6"/>
  <c r="AC41" i="6" l="1"/>
  <c r="AA42" i="6"/>
  <c r="AC41" i="5"/>
  <c r="AA42" i="5"/>
  <c r="AB42" i="4"/>
  <c r="AC41" i="4"/>
  <c r="AA42" i="4"/>
  <c r="AB42" i="3"/>
  <c r="AB43" i="3" s="1"/>
  <c r="AC41" i="3"/>
  <c r="AA42" i="3"/>
  <c r="R30" i="5"/>
  <c r="S30" i="5" s="1"/>
  <c r="U30" i="3"/>
  <c r="V30" i="3"/>
  <c r="AH30" i="3"/>
  <c r="AG30" i="3"/>
  <c r="T30" i="3"/>
  <c r="W30" i="3"/>
  <c r="I30" i="6"/>
  <c r="J30" i="6"/>
  <c r="N30" i="6" s="1"/>
  <c r="M30" i="6"/>
  <c r="AB42" i="5"/>
  <c r="Q30" i="4"/>
  <c r="Z30" i="3" l="1"/>
  <c r="AF30" i="3"/>
  <c r="X30" i="3"/>
  <c r="G31" i="3" s="1"/>
  <c r="AI30" i="3"/>
  <c r="Y30" i="3" s="1"/>
  <c r="AB43" i="6"/>
  <c r="AC42" i="6"/>
  <c r="AA43" i="6"/>
  <c r="AC42" i="5"/>
  <c r="AA43" i="5"/>
  <c r="AC42" i="4"/>
  <c r="AA43" i="4"/>
  <c r="AC42" i="3"/>
  <c r="AA43" i="3"/>
  <c r="W30" i="5"/>
  <c r="U30" i="5"/>
  <c r="Z30" i="5" s="1"/>
  <c r="V30" i="5"/>
  <c r="AH30" i="5"/>
  <c r="T30" i="5"/>
  <c r="AG30" i="5"/>
  <c r="AI30" i="5"/>
  <c r="AD30" i="3"/>
  <c r="AE30" i="3" s="1"/>
  <c r="P30" i="6"/>
  <c r="O30" i="6"/>
  <c r="R30" i="4"/>
  <c r="S30" i="4" s="1"/>
  <c r="L30" i="6"/>
  <c r="AB43" i="5"/>
  <c r="AB43" i="4"/>
  <c r="AB44" i="4" s="1"/>
  <c r="AB44" i="6" l="1"/>
  <c r="AB44" i="5"/>
  <c r="K31" i="3"/>
  <c r="H31" i="3"/>
  <c r="AC43" i="6"/>
  <c r="AA44" i="6"/>
  <c r="AC43" i="5"/>
  <c r="AA44" i="5"/>
  <c r="AC43" i="4"/>
  <c r="AA44" i="4"/>
  <c r="AB44" i="3"/>
  <c r="AA44" i="3"/>
  <c r="AC43" i="3"/>
  <c r="AD30" i="5"/>
  <c r="AE30" i="5"/>
  <c r="U30" i="4"/>
  <c r="Z30" i="4" s="1"/>
  <c r="AH30" i="4"/>
  <c r="V30" i="4"/>
  <c r="AG30" i="4"/>
  <c r="AI30" i="4"/>
  <c r="T30" i="4"/>
  <c r="W30" i="4"/>
  <c r="Q30" i="6"/>
  <c r="X30" i="5"/>
  <c r="G31" i="5" s="1"/>
  <c r="AF30" i="5"/>
  <c r="J31" i="3" l="1"/>
  <c r="N31" i="3" s="1"/>
  <c r="M31" i="3"/>
  <c r="I31" i="3"/>
  <c r="L31" i="3" s="1"/>
  <c r="AB45" i="6"/>
  <c r="AC44" i="6"/>
  <c r="AA45" i="6"/>
  <c r="AB45" i="5"/>
  <c r="AC44" i="5"/>
  <c r="AA45" i="5"/>
  <c r="AB45" i="4"/>
  <c r="AC44" i="4"/>
  <c r="AA45" i="4"/>
  <c r="AC44" i="3"/>
  <c r="AA45" i="3"/>
  <c r="P31" i="3"/>
  <c r="O31" i="3"/>
  <c r="AD30" i="4"/>
  <c r="AE30" i="4"/>
  <c r="R30" i="6"/>
  <c r="S30" i="6"/>
  <c r="H31" i="5"/>
  <c r="K31" i="5"/>
  <c r="Y30" i="5"/>
  <c r="AB45" i="3"/>
  <c r="AB46" i="3" s="1"/>
  <c r="X30" i="4"/>
  <c r="G31" i="4" s="1"/>
  <c r="AF30" i="4"/>
  <c r="AC45" i="6" l="1"/>
  <c r="AA46" i="6"/>
  <c r="AC45" i="5"/>
  <c r="AA46" i="5"/>
  <c r="AC45" i="4"/>
  <c r="AA46" i="4"/>
  <c r="AC45" i="3"/>
  <c r="AA46" i="3"/>
  <c r="W30" i="6"/>
  <c r="AH30" i="6"/>
  <c r="X30" i="6"/>
  <c r="G31" i="6" s="1"/>
  <c r="V30" i="6"/>
  <c r="U30" i="6"/>
  <c r="T30" i="6"/>
  <c r="AG30" i="6"/>
  <c r="AF30" i="6" s="1"/>
  <c r="AI30" i="6"/>
  <c r="I31" i="5"/>
  <c r="J31" i="5"/>
  <c r="N31" i="5" s="1"/>
  <c r="M31" i="5"/>
  <c r="K31" i="4"/>
  <c r="H31" i="4"/>
  <c r="Y30" i="4"/>
  <c r="Q31" i="3"/>
  <c r="AB46" i="6"/>
  <c r="AB47" i="6" s="1"/>
  <c r="AB46" i="5"/>
  <c r="AB46" i="4"/>
  <c r="AC46" i="6" l="1"/>
  <c r="AA47" i="6"/>
  <c r="AC46" i="5"/>
  <c r="AA47" i="5"/>
  <c r="AC46" i="4"/>
  <c r="AA47" i="4"/>
  <c r="AB47" i="3"/>
  <c r="AC46" i="3"/>
  <c r="AA47" i="3"/>
  <c r="K31" i="6"/>
  <c r="H31" i="6"/>
  <c r="Y30" i="6"/>
  <c r="O31" i="5"/>
  <c r="P31" i="5"/>
  <c r="Q31" i="5" s="1"/>
  <c r="M31" i="4"/>
  <c r="J31" i="4"/>
  <c r="N31" i="4" s="1"/>
  <c r="I31" i="4"/>
  <c r="R31" i="3"/>
  <c r="S31" i="3"/>
  <c r="Z30" i="6"/>
  <c r="L31" i="5"/>
  <c r="AB47" i="5"/>
  <c r="AB47" i="4"/>
  <c r="AB48" i="3" l="1"/>
  <c r="AB48" i="6"/>
  <c r="AC47" i="6"/>
  <c r="AA48" i="6"/>
  <c r="AC47" i="5"/>
  <c r="AA48" i="5"/>
  <c r="AC47" i="4"/>
  <c r="AA48" i="4"/>
  <c r="AA48" i="3"/>
  <c r="AC47" i="3"/>
  <c r="I31" i="6"/>
  <c r="J31" i="6"/>
  <c r="N31" i="6" s="1"/>
  <c r="M31" i="6"/>
  <c r="R31" i="5"/>
  <c r="S31" i="5"/>
  <c r="P31" i="4"/>
  <c r="O31" i="4"/>
  <c r="W31" i="3"/>
  <c r="U31" i="3"/>
  <c r="Z31" i="3" s="1"/>
  <c r="AH31" i="3"/>
  <c r="V31" i="3"/>
  <c r="AG31" i="3"/>
  <c r="AI31" i="3"/>
  <c r="T31" i="3"/>
  <c r="AD30" i="6"/>
  <c r="AE30" i="6" s="1"/>
  <c r="AB48" i="4"/>
  <c r="AB48" i="5"/>
  <c r="L31" i="4"/>
  <c r="AC48" i="6" l="1"/>
  <c r="AA49" i="6"/>
  <c r="AC48" i="5"/>
  <c r="AA49" i="5"/>
  <c r="AC48" i="4"/>
  <c r="AA49" i="4"/>
  <c r="AB49" i="3"/>
  <c r="AC48" i="3"/>
  <c r="AA49" i="3"/>
  <c r="P31" i="6"/>
  <c r="O31" i="6"/>
  <c r="W31" i="5"/>
  <c r="AH31" i="5"/>
  <c r="V31" i="5"/>
  <c r="U31" i="5"/>
  <c r="Z31" i="5" s="1"/>
  <c r="T31" i="5"/>
  <c r="AG31" i="5"/>
  <c r="AD31" i="3"/>
  <c r="AE31" i="3"/>
  <c r="Q31" i="4"/>
  <c r="AB49" i="4"/>
  <c r="AB49" i="5"/>
  <c r="AB49" i="6"/>
  <c r="L31" i="6"/>
  <c r="X31" i="3"/>
  <c r="G32" i="3" s="1"/>
  <c r="AF31" i="3"/>
  <c r="AC49" i="6" l="1"/>
  <c r="AA50" i="6"/>
  <c r="AC49" i="5"/>
  <c r="AA50" i="5"/>
  <c r="AC49" i="4"/>
  <c r="AA50" i="4"/>
  <c r="AA50" i="3"/>
  <c r="AC49" i="3"/>
  <c r="AD31" i="5"/>
  <c r="AE31" i="5" s="1"/>
  <c r="R31" i="4"/>
  <c r="S31" i="4" s="1"/>
  <c r="H32" i="3"/>
  <c r="K32" i="3"/>
  <c r="Y31" i="3"/>
  <c r="AB50" i="4"/>
  <c r="AB51" i="4" s="1"/>
  <c r="AB50" i="5"/>
  <c r="AB51" i="5" s="1"/>
  <c r="AB50" i="6"/>
  <c r="AB50" i="3"/>
  <c r="AB51" i="3" s="1"/>
  <c r="Q31" i="6"/>
  <c r="X31" i="5"/>
  <c r="G32" i="5" s="1"/>
  <c r="AI31" i="5"/>
  <c r="AF31" i="5"/>
  <c r="AB51" i="6" l="1"/>
  <c r="AC50" i="6"/>
  <c r="AA51" i="6"/>
  <c r="AC50" i="5"/>
  <c r="AA51" i="5"/>
  <c r="AC50" i="4"/>
  <c r="AA51" i="4"/>
  <c r="AC50" i="3"/>
  <c r="AA51" i="3"/>
  <c r="W31" i="4"/>
  <c r="AH31" i="4"/>
  <c r="U31" i="4"/>
  <c r="Z31" i="4" s="1"/>
  <c r="V31" i="4"/>
  <c r="T31" i="4"/>
  <c r="AG31" i="4"/>
  <c r="AI31" i="4"/>
  <c r="I32" i="3"/>
  <c r="J32" i="3"/>
  <c r="N32" i="3" s="1"/>
  <c r="M32" i="3"/>
  <c r="R31" i="6"/>
  <c r="S31" i="6"/>
  <c r="H32" i="5"/>
  <c r="K32" i="5"/>
  <c r="Y31" i="5"/>
  <c r="AB52" i="6" l="1"/>
  <c r="AC51" i="6"/>
  <c r="AA52" i="6"/>
  <c r="AB52" i="5"/>
  <c r="AC51" i="5"/>
  <c r="AA52" i="5"/>
  <c r="AB52" i="4"/>
  <c r="AC51" i="4"/>
  <c r="AA52" i="4"/>
  <c r="AB52" i="3"/>
  <c r="AC51" i="3"/>
  <c r="AA52" i="3"/>
  <c r="AD31" i="4"/>
  <c r="AE31" i="4" s="1"/>
  <c r="O32" i="3"/>
  <c r="P32" i="3"/>
  <c r="Q32" i="3" s="1"/>
  <c r="W31" i="6"/>
  <c r="U31" i="6"/>
  <c r="Z31" i="6" s="1"/>
  <c r="V31" i="6"/>
  <c r="AH31" i="6"/>
  <c r="T31" i="6"/>
  <c r="AG31" i="6"/>
  <c r="AI31" i="6"/>
  <c r="I32" i="5"/>
  <c r="J32" i="5"/>
  <c r="N32" i="5" s="1"/>
  <c r="M32" i="5"/>
  <c r="L32" i="3"/>
  <c r="AF31" i="4"/>
  <c r="X31" i="4"/>
  <c r="G32" i="4" s="1"/>
  <c r="AB53" i="4" l="1"/>
  <c r="AB53" i="3"/>
  <c r="AC52" i="6"/>
  <c r="AA53" i="6"/>
  <c r="AC52" i="5"/>
  <c r="AA53" i="5"/>
  <c r="AC52" i="4"/>
  <c r="AA53" i="4"/>
  <c r="AA53" i="3"/>
  <c r="AC52" i="3"/>
  <c r="R32" i="3"/>
  <c r="W32" i="3" s="1"/>
  <c r="S32" i="3"/>
  <c r="AD31" i="6"/>
  <c r="AE31" i="6"/>
  <c r="O32" i="5"/>
  <c r="P32" i="5"/>
  <c r="Q32" i="5" s="1"/>
  <c r="Y31" i="4"/>
  <c r="K32" i="4"/>
  <c r="H32" i="4"/>
  <c r="AB53" i="5"/>
  <c r="L32" i="5"/>
  <c r="AB53" i="6"/>
  <c r="X31" i="6"/>
  <c r="G32" i="6" s="1"/>
  <c r="AF31" i="6"/>
  <c r="AC53" i="6" l="1"/>
  <c r="AA54" i="6"/>
  <c r="AC53" i="5"/>
  <c r="AA54" i="5"/>
  <c r="AB54" i="4"/>
  <c r="AC53" i="4"/>
  <c r="AA54" i="4"/>
  <c r="AB54" i="3"/>
  <c r="AC53" i="3"/>
  <c r="AA54" i="3"/>
  <c r="AH32" i="3"/>
  <c r="V32" i="3"/>
  <c r="U32" i="3"/>
  <c r="Z32" i="3" s="1"/>
  <c r="AG32" i="3"/>
  <c r="AI32" i="3" s="1"/>
  <c r="T32" i="3"/>
  <c r="R32" i="5"/>
  <c r="J32" i="4"/>
  <c r="N32" i="4" s="1"/>
  <c r="I32" i="4"/>
  <c r="L32" i="4" s="1"/>
  <c r="M32" i="4"/>
  <c r="H32" i="6"/>
  <c r="K32" i="6"/>
  <c r="Y31" i="6"/>
  <c r="AB54" i="6"/>
  <c r="AB54" i="5"/>
  <c r="AC54" i="6" l="1"/>
  <c r="AA55" i="6"/>
  <c r="AC54" i="5"/>
  <c r="AA55" i="5"/>
  <c r="AC54" i="4"/>
  <c r="AA55" i="4"/>
  <c r="AC54" i="3"/>
  <c r="AA55" i="3"/>
  <c r="AD32" i="3"/>
  <c r="AE32" i="3" s="1"/>
  <c r="P32" i="4"/>
  <c r="O32" i="4"/>
  <c r="I32" i="6"/>
  <c r="J32" i="6"/>
  <c r="N32" i="6" s="1"/>
  <c r="M32" i="6"/>
  <c r="AB55" i="6"/>
  <c r="AB55" i="5"/>
  <c r="AB55" i="4"/>
  <c r="AB56" i="4" s="1"/>
  <c r="AB55" i="3"/>
  <c r="X32" i="3"/>
  <c r="G33" i="3" s="1"/>
  <c r="AF32" i="3"/>
  <c r="Y32" i="3" s="1"/>
  <c r="W32" i="5"/>
  <c r="S32" i="5"/>
  <c r="AB56" i="5" l="1"/>
  <c r="AB56" i="6"/>
  <c r="AC55" i="6"/>
  <c r="AA56" i="6"/>
  <c r="AC55" i="5"/>
  <c r="AA56" i="5"/>
  <c r="AC55" i="4"/>
  <c r="AA56" i="4"/>
  <c r="AA56" i="3"/>
  <c r="AC55" i="3"/>
  <c r="P32" i="6"/>
  <c r="O32" i="6"/>
  <c r="H33" i="3"/>
  <c r="K33" i="3"/>
  <c r="AG32" i="5"/>
  <c r="T32" i="5"/>
  <c r="U32" i="5"/>
  <c r="Z32" i="5" s="1"/>
  <c r="V32" i="5"/>
  <c r="X32" i="5"/>
  <c r="G33" i="5" s="1"/>
  <c r="AH32" i="5"/>
  <c r="Q32" i="4"/>
  <c r="L32" i="6"/>
  <c r="AB56" i="3"/>
  <c r="AB57" i="3" s="1"/>
  <c r="AB57" i="6" l="1"/>
  <c r="AC56" i="6"/>
  <c r="AA57" i="6"/>
  <c r="AB57" i="5"/>
  <c r="AB58" i="5" s="1"/>
  <c r="AC56" i="5"/>
  <c r="AA57" i="5"/>
  <c r="AB57" i="4"/>
  <c r="AC56" i="4"/>
  <c r="AA57" i="4"/>
  <c r="AC56" i="3"/>
  <c r="AA57" i="3"/>
  <c r="M33" i="3"/>
  <c r="J33" i="3"/>
  <c r="N33" i="3" s="1"/>
  <c r="I33" i="3"/>
  <c r="L33" i="3" s="1"/>
  <c r="AD32" i="5"/>
  <c r="AE32" i="5" s="1"/>
  <c r="K33" i="5"/>
  <c r="H33" i="5"/>
  <c r="R32" i="4"/>
  <c r="Q32" i="6"/>
  <c r="AI32" i="5"/>
  <c r="AF32" i="5"/>
  <c r="Y32" i="5" s="1"/>
  <c r="AC57" i="6" l="1"/>
  <c r="AA58" i="6"/>
  <c r="AC57" i="5"/>
  <c r="AA58" i="5"/>
  <c r="AC57" i="4"/>
  <c r="AA58" i="4"/>
  <c r="AB58" i="3"/>
  <c r="AC57" i="3"/>
  <c r="AA58" i="3"/>
  <c r="O33" i="3"/>
  <c r="P33" i="3"/>
  <c r="Q33" i="3" s="1"/>
  <c r="I33" i="5"/>
  <c r="J33" i="5"/>
  <c r="N33" i="5" s="1"/>
  <c r="M33" i="5"/>
  <c r="R32" i="6"/>
  <c r="AB58" i="4"/>
  <c r="AB58" i="6"/>
  <c r="W32" i="4"/>
  <c r="S32" i="4"/>
  <c r="AB59" i="6" l="1"/>
  <c r="AC58" i="6"/>
  <c r="AA59" i="6"/>
  <c r="AC59" i="6" s="1"/>
  <c r="D17" i="6" s="1"/>
  <c r="AB59" i="5"/>
  <c r="AC58" i="5"/>
  <c r="AA59" i="5"/>
  <c r="AC59" i="5" s="1"/>
  <c r="D17" i="5" s="1"/>
  <c r="AC58" i="4"/>
  <c r="AA59" i="4"/>
  <c r="AA59" i="3"/>
  <c r="AC58" i="3"/>
  <c r="R33" i="3"/>
  <c r="O33" i="5"/>
  <c r="P33" i="5"/>
  <c r="Q33" i="5" s="1"/>
  <c r="T32" i="4"/>
  <c r="AG32" i="4"/>
  <c r="V32" i="4"/>
  <c r="AH32" i="4"/>
  <c r="X32" i="4"/>
  <c r="G33" i="4" s="1"/>
  <c r="U32" i="4"/>
  <c r="Z32" i="4" s="1"/>
  <c r="AB59" i="3"/>
  <c r="AB59" i="4"/>
  <c r="L33" i="5"/>
  <c r="W32" i="6"/>
  <c r="S32" i="6"/>
  <c r="AC59" i="4" l="1"/>
  <c r="D17" i="4" s="1"/>
  <c r="AC59" i="3"/>
  <c r="D17" i="3" s="1"/>
  <c r="D18" i="6"/>
  <c r="F17" i="7" s="1"/>
  <c r="F16" i="7"/>
  <c r="D18" i="5"/>
  <c r="E17" i="7" s="1"/>
  <c r="E16" i="7"/>
  <c r="R33" i="5"/>
  <c r="W33" i="5" s="1"/>
  <c r="S33" i="5"/>
  <c r="K33" i="4"/>
  <c r="H33" i="4"/>
  <c r="AD32" i="4"/>
  <c r="AE32" i="4" s="1"/>
  <c r="AG32" i="6"/>
  <c r="AF32" i="6"/>
  <c r="T32" i="6"/>
  <c r="U32" i="6"/>
  <c r="Z32" i="6" s="1"/>
  <c r="V32" i="6"/>
  <c r="AH32" i="6"/>
  <c r="W33" i="3"/>
  <c r="S33" i="3"/>
  <c r="AI32" i="4"/>
  <c r="AF32" i="4"/>
  <c r="Y32" i="4" s="1"/>
  <c r="D18" i="4" l="1"/>
  <c r="D17" i="7" s="1"/>
  <c r="D16" i="7"/>
  <c r="C16" i="7"/>
  <c r="D18" i="3"/>
  <c r="C17" i="7" s="1"/>
  <c r="U33" i="5"/>
  <c r="Z33" i="5" s="1"/>
  <c r="V33" i="5"/>
  <c r="AH33" i="5"/>
  <c r="T33" i="5"/>
  <c r="AG33" i="5"/>
  <c r="J33" i="4"/>
  <c r="N33" i="4" s="1"/>
  <c r="M33" i="4"/>
  <c r="I33" i="4"/>
  <c r="L33" i="4" s="1"/>
  <c r="AD32" i="6"/>
  <c r="AE32" i="6" s="1"/>
  <c r="AG33" i="3"/>
  <c r="T33" i="3"/>
  <c r="AI33" i="3"/>
  <c r="AF33" i="3"/>
  <c r="Y33" i="3" s="1"/>
  <c r="V33" i="3"/>
  <c r="X33" i="3"/>
  <c r="G34" i="3" s="1"/>
  <c r="AH33" i="3"/>
  <c r="U33" i="3"/>
  <c r="Z33" i="3" s="1"/>
  <c r="AI32" i="6"/>
  <c r="Y32" i="6" s="1"/>
  <c r="X32" i="6"/>
  <c r="G33" i="6" s="1"/>
  <c r="AD33" i="5" l="1"/>
  <c r="AE33" i="5" s="1"/>
  <c r="O33" i="4"/>
  <c r="P33" i="4"/>
  <c r="Q33" i="4" s="1"/>
  <c r="K34" i="3"/>
  <c r="H34" i="3"/>
  <c r="AD33" i="3"/>
  <c r="AE33" i="3" s="1"/>
  <c r="H33" i="6"/>
  <c r="K33" i="6"/>
  <c r="AI33" i="5"/>
  <c r="X33" i="5"/>
  <c r="G34" i="5" s="1"/>
  <c r="AF33" i="5"/>
  <c r="Y33" i="5" l="1"/>
  <c r="R33" i="4"/>
  <c r="M34" i="3"/>
  <c r="J34" i="3"/>
  <c r="N34" i="3" s="1"/>
  <c r="I34" i="3"/>
  <c r="I33" i="6"/>
  <c r="L33" i="6" s="1"/>
  <c r="J33" i="6"/>
  <c r="N33" i="6" s="1"/>
  <c r="M33" i="6"/>
  <c r="H34" i="5"/>
  <c r="K34" i="5"/>
  <c r="O34" i="3" l="1"/>
  <c r="P34" i="3"/>
  <c r="Q34" i="3" s="1"/>
  <c r="P33" i="6"/>
  <c r="O33" i="6"/>
  <c r="I34" i="5"/>
  <c r="J34" i="5"/>
  <c r="N34" i="5" s="1"/>
  <c r="M34" i="5"/>
  <c r="L34" i="3"/>
  <c r="W33" i="4"/>
  <c r="S33" i="4"/>
  <c r="R34" i="3" l="1"/>
  <c r="O34" i="5"/>
  <c r="P34" i="5"/>
  <c r="Q34" i="5" s="1"/>
  <c r="AG33" i="4"/>
  <c r="Q33" i="6"/>
  <c r="L34" i="5"/>
  <c r="R34" i="5" l="1"/>
  <c r="R33" i="6"/>
  <c r="W34" i="3"/>
  <c r="S34" i="3"/>
  <c r="AF33" i="4"/>
  <c r="Y33" i="4" s="1"/>
  <c r="T33" i="4"/>
  <c r="U33" i="4" s="1"/>
  <c r="Z33" i="4" s="1"/>
  <c r="AH33" i="4"/>
  <c r="X33" i="4"/>
  <c r="G34" i="4" s="1"/>
  <c r="V33" i="4"/>
  <c r="AI33" i="4"/>
  <c r="T34" i="3" l="1"/>
  <c r="AG34" i="3"/>
  <c r="AI34" i="3" s="1"/>
  <c r="Y34" i="3" s="1"/>
  <c r="AF34" i="3"/>
  <c r="V34" i="3"/>
  <c r="AH34" i="3"/>
  <c r="X34" i="3"/>
  <c r="G35" i="3" s="1"/>
  <c r="U34" i="3"/>
  <c r="Z34" i="3" s="1"/>
  <c r="AD33" i="4"/>
  <c r="AE33" i="4" s="1"/>
  <c r="K34" i="4"/>
  <c r="U34" i="4"/>
  <c r="AH34" i="4"/>
  <c r="H34" i="4"/>
  <c r="V34" i="4"/>
  <c r="Y34" i="4"/>
  <c r="W34" i="5"/>
  <c r="S34" i="5"/>
  <c r="W33" i="6"/>
  <c r="S33" i="6"/>
  <c r="H35" i="3" l="1"/>
  <c r="K35" i="3"/>
  <c r="AD34" i="3"/>
  <c r="AE34" i="3" s="1"/>
  <c r="J34" i="4"/>
  <c r="N34" i="4" s="1"/>
  <c r="I34" i="4"/>
  <c r="L34" i="4" s="1"/>
  <c r="M34" i="4"/>
  <c r="AG34" i="5"/>
  <c r="AI34" i="5" s="1"/>
  <c r="Y34" i="5" s="1"/>
  <c r="AF34" i="5"/>
  <c r="T34" i="5"/>
  <c r="U34" i="5"/>
  <c r="Z34" i="5" s="1"/>
  <c r="V34" i="5"/>
  <c r="X34" i="5"/>
  <c r="G35" i="5" s="1"/>
  <c r="AH34" i="5"/>
  <c r="AG33" i="6"/>
  <c r="X33" i="6" s="1"/>
  <c r="G34" i="6" s="1"/>
  <c r="T33" i="6"/>
  <c r="U33" i="6"/>
  <c r="Z33" i="6" s="1"/>
  <c r="V33" i="6"/>
  <c r="AH33" i="6"/>
  <c r="J35" i="3" l="1"/>
  <c r="N35" i="3" s="1"/>
  <c r="I35" i="3"/>
  <c r="L35" i="3" s="1"/>
  <c r="M35" i="3"/>
  <c r="O34" i="4"/>
  <c r="P34" i="4"/>
  <c r="Q34" i="4" s="1"/>
  <c r="AD34" i="5"/>
  <c r="AE34" i="5" s="1"/>
  <c r="K35" i="5"/>
  <c r="H35" i="5"/>
  <c r="AD33" i="6"/>
  <c r="AE33" i="6" s="1"/>
  <c r="K34" i="6"/>
  <c r="H34" i="6"/>
  <c r="AI33" i="6"/>
  <c r="AF33" i="6"/>
  <c r="Y33" i="6" s="1"/>
  <c r="P35" i="3" l="1"/>
  <c r="O35" i="3"/>
  <c r="R34" i="4"/>
  <c r="I35" i="5"/>
  <c r="J35" i="5"/>
  <c r="N35" i="5" s="1"/>
  <c r="M35" i="5"/>
  <c r="I34" i="6"/>
  <c r="J34" i="6"/>
  <c r="N34" i="6" s="1"/>
  <c r="M34" i="6"/>
  <c r="Q35" i="3" l="1"/>
  <c r="R35" i="3" s="1"/>
  <c r="O35" i="5"/>
  <c r="P35" i="5"/>
  <c r="Q35" i="5" s="1"/>
  <c r="P34" i="6"/>
  <c r="O34" i="6"/>
  <c r="L34" i="6"/>
  <c r="L35" i="5"/>
  <c r="W34" i="4"/>
  <c r="S34" i="4"/>
  <c r="R35" i="5" l="1"/>
  <c r="Z34" i="4"/>
  <c r="T34" i="4"/>
  <c r="AG34" i="4"/>
  <c r="X34" i="4"/>
  <c r="G35" i="4" s="1"/>
  <c r="Q34" i="6"/>
  <c r="W35" i="3"/>
  <c r="S35" i="3"/>
  <c r="AD34" i="4" l="1"/>
  <c r="AE34" i="4" s="1"/>
  <c r="H35" i="4"/>
  <c r="V35" i="4"/>
  <c r="AH35" i="4"/>
  <c r="Y35" i="4"/>
  <c r="U35" i="4"/>
  <c r="K35" i="4"/>
  <c r="R34" i="6"/>
  <c r="T35" i="3"/>
  <c r="AG35" i="3"/>
  <c r="X35" i="3" s="1"/>
  <c r="G36" i="3" s="1"/>
  <c r="AH35" i="3"/>
  <c r="V35" i="3"/>
  <c r="U35" i="3"/>
  <c r="Z35" i="3" s="1"/>
  <c r="W35" i="5"/>
  <c r="S35" i="5"/>
  <c r="AI34" i="4"/>
  <c r="AF34" i="4"/>
  <c r="I35" i="4" l="1"/>
  <c r="J35" i="4"/>
  <c r="N35" i="4" s="1"/>
  <c r="M35" i="4"/>
  <c r="AD35" i="3"/>
  <c r="AE35" i="3" s="1"/>
  <c r="H36" i="3"/>
  <c r="K36" i="3"/>
  <c r="AG35" i="5"/>
  <c r="T35" i="5"/>
  <c r="AH35" i="5"/>
  <c r="V35" i="5"/>
  <c r="U35" i="5"/>
  <c r="Z35" i="5" s="1"/>
  <c r="W34" i="6"/>
  <c r="S34" i="6"/>
  <c r="AI35" i="3"/>
  <c r="AF35" i="3"/>
  <c r="Y35" i="3" s="1"/>
  <c r="P35" i="4" l="1"/>
  <c r="O35" i="4"/>
  <c r="I36" i="3"/>
  <c r="L36" i="3" s="1"/>
  <c r="M36" i="3"/>
  <c r="J36" i="3"/>
  <c r="N36" i="3" s="1"/>
  <c r="AD35" i="5"/>
  <c r="AE35" i="5" s="1"/>
  <c r="AG34" i="6"/>
  <c r="AI34" i="6" s="1"/>
  <c r="Y34" i="6" s="1"/>
  <c r="AF34" i="6"/>
  <c r="T34" i="6"/>
  <c r="AH34" i="6"/>
  <c r="X34" i="6"/>
  <c r="G35" i="6" s="1"/>
  <c r="V34" i="6"/>
  <c r="U34" i="6"/>
  <c r="Z34" i="6" s="1"/>
  <c r="L35" i="4"/>
  <c r="AI35" i="5"/>
  <c r="X35" i="5"/>
  <c r="G36" i="5" s="1"/>
  <c r="AF35" i="5"/>
  <c r="Y35" i="5" s="1"/>
  <c r="O36" i="3" l="1"/>
  <c r="P36" i="3"/>
  <c r="Q36" i="3" s="1"/>
  <c r="K35" i="6"/>
  <c r="H35" i="6"/>
  <c r="AD34" i="6"/>
  <c r="AE34" i="6" s="1"/>
  <c r="H36" i="5"/>
  <c r="K36" i="5"/>
  <c r="Q35" i="4"/>
  <c r="R36" i="3" l="1"/>
  <c r="I35" i="6"/>
  <c r="J35" i="6"/>
  <c r="N35" i="6" s="1"/>
  <c r="M35" i="6"/>
  <c r="I36" i="5"/>
  <c r="J36" i="5"/>
  <c r="N36" i="5" s="1"/>
  <c r="M36" i="5"/>
  <c r="R35" i="4"/>
  <c r="P35" i="6" l="1"/>
  <c r="O35" i="6"/>
  <c r="O36" i="5"/>
  <c r="P36" i="5"/>
  <c r="Q36" i="5" s="1"/>
  <c r="L35" i="6"/>
  <c r="L36" i="5"/>
  <c r="W36" i="3"/>
  <c r="S36" i="3"/>
  <c r="W35" i="4"/>
  <c r="S35" i="4"/>
  <c r="R36" i="5" l="1"/>
  <c r="AG36" i="3"/>
  <c r="AI36" i="3" s="1"/>
  <c r="Y36" i="3" s="1"/>
  <c r="T36" i="3"/>
  <c r="AF36" i="3"/>
  <c r="X36" i="3"/>
  <c r="G37" i="3" s="1"/>
  <c r="V36" i="3"/>
  <c r="AH36" i="3"/>
  <c r="U36" i="3"/>
  <c r="Z36" i="3" s="1"/>
  <c r="Z35" i="4"/>
  <c r="AG35" i="4"/>
  <c r="T35" i="4"/>
  <c r="Q35" i="6"/>
  <c r="AI35" i="4" l="1"/>
  <c r="AF35" i="4"/>
  <c r="X35" i="4"/>
  <c r="G36" i="4" s="1"/>
  <c r="K37" i="3"/>
  <c r="H37" i="3"/>
  <c r="AD36" i="3"/>
  <c r="AE36" i="3" s="1"/>
  <c r="AD35" i="4"/>
  <c r="AE35" i="4" s="1"/>
  <c r="R35" i="6"/>
  <c r="W36" i="5"/>
  <c r="S36" i="5"/>
  <c r="V36" i="4" l="1"/>
  <c r="H36" i="4"/>
  <c r="I36" i="4" s="1"/>
  <c r="L36" i="4" s="1"/>
  <c r="K36" i="4"/>
  <c r="AH36" i="4"/>
  <c r="Y36" i="4"/>
  <c r="U36" i="4"/>
  <c r="M37" i="3"/>
  <c r="I37" i="3"/>
  <c r="J37" i="3"/>
  <c r="N37" i="3" s="1"/>
  <c r="M36" i="4"/>
  <c r="J36" i="4"/>
  <c r="N36" i="4" s="1"/>
  <c r="AG36" i="5"/>
  <c r="T36" i="5"/>
  <c r="U36" i="5"/>
  <c r="Z36" i="5" s="1"/>
  <c r="V36" i="5"/>
  <c r="AH36" i="5"/>
  <c r="W35" i="6"/>
  <c r="S35" i="6"/>
  <c r="O37" i="3" l="1"/>
  <c r="P37" i="3"/>
  <c r="Q37" i="3" s="1"/>
  <c r="O36" i="4"/>
  <c r="P36" i="4"/>
  <c r="AD36" i="5"/>
  <c r="AE36" i="5" s="1"/>
  <c r="AG35" i="6"/>
  <c r="AF35" i="6"/>
  <c r="T35" i="6"/>
  <c r="AH35" i="6"/>
  <c r="V35" i="6"/>
  <c r="U35" i="6"/>
  <c r="Z35" i="6" s="1"/>
  <c r="L37" i="3"/>
  <c r="AI36" i="5"/>
  <c r="AF36" i="5"/>
  <c r="Y36" i="5" s="1"/>
  <c r="X36" i="5"/>
  <c r="G37" i="5" s="1"/>
  <c r="Q36" i="4" l="1"/>
  <c r="Y35" i="6"/>
  <c r="AI35" i="6"/>
  <c r="X35" i="6"/>
  <c r="G36" i="6" s="1"/>
  <c r="R37" i="3"/>
  <c r="R36" i="4"/>
  <c r="AD35" i="6"/>
  <c r="AE35" i="6" s="1"/>
  <c r="H37" i="5"/>
  <c r="K37" i="5"/>
  <c r="K36" i="6" l="1"/>
  <c r="H36" i="6"/>
  <c r="I37" i="5"/>
  <c r="J37" i="5"/>
  <c r="N37" i="5" s="1"/>
  <c r="M37" i="5"/>
  <c r="W37" i="3"/>
  <c r="S37" i="3"/>
  <c r="W36" i="4"/>
  <c r="S36" i="4"/>
  <c r="L37" i="5" l="1"/>
  <c r="I36" i="6"/>
  <c r="L36" i="6" s="1"/>
  <c r="M36" i="6"/>
  <c r="J36" i="6"/>
  <c r="N36" i="6" s="1"/>
  <c r="O37" i="5"/>
  <c r="P37" i="5"/>
  <c r="Q37" i="5" s="1"/>
  <c r="AG37" i="3"/>
  <c r="T37" i="3"/>
  <c r="V37" i="3"/>
  <c r="AH37" i="3"/>
  <c r="U37" i="3"/>
  <c r="Z37" i="3" s="1"/>
  <c r="Z36" i="4"/>
  <c r="T36" i="4"/>
  <c r="AG36" i="4"/>
  <c r="X36" i="4"/>
  <c r="G37" i="4" s="1"/>
  <c r="P36" i="6" l="1"/>
  <c r="Q36" i="6" s="1"/>
  <c r="O36" i="6"/>
  <c r="AI37" i="3"/>
  <c r="AF37" i="3"/>
  <c r="X37" i="3"/>
  <c r="G38" i="3" s="1"/>
  <c r="K38" i="3" s="1"/>
  <c r="R37" i="5"/>
  <c r="H38" i="3"/>
  <c r="AD37" i="3"/>
  <c r="AE37" i="3" s="1"/>
  <c r="AD36" i="4"/>
  <c r="AE36" i="4" s="1"/>
  <c r="H37" i="4"/>
  <c r="AH37" i="4"/>
  <c r="Y37" i="4"/>
  <c r="V37" i="4"/>
  <c r="U37" i="4"/>
  <c r="K37" i="4"/>
  <c r="AF36" i="4"/>
  <c r="AI36" i="4"/>
  <c r="Y37" i="3" l="1"/>
  <c r="J38" i="3"/>
  <c r="N38" i="3" s="1"/>
  <c r="I38" i="3"/>
  <c r="M38" i="3"/>
  <c r="M37" i="4"/>
  <c r="J37" i="4"/>
  <c r="N37" i="4" s="1"/>
  <c r="I37" i="4"/>
  <c r="L37" i="4" s="1"/>
  <c r="R36" i="6"/>
  <c r="W37" i="5"/>
  <c r="S37" i="5"/>
  <c r="L38" i="3" l="1"/>
  <c r="P38" i="3"/>
  <c r="O38" i="3"/>
  <c r="O37" i="4"/>
  <c r="P37" i="4"/>
  <c r="AG37" i="5"/>
  <c r="AI37" i="5" s="1"/>
  <c r="AF37" i="5"/>
  <c r="T37" i="5"/>
  <c r="AH37" i="5"/>
  <c r="U37" i="5"/>
  <c r="Z37" i="5" s="1"/>
  <c r="V37" i="5"/>
  <c r="X37" i="5"/>
  <c r="G38" i="5" s="1"/>
  <c r="W36" i="6"/>
  <c r="S36" i="6"/>
  <c r="Q37" i="4" l="1"/>
  <c r="R37" i="4" s="1"/>
  <c r="Y37" i="5"/>
  <c r="AD37" i="5"/>
  <c r="AE37" i="5" s="1"/>
  <c r="K38" i="5"/>
  <c r="H38" i="5"/>
  <c r="AG36" i="6"/>
  <c r="T36" i="6"/>
  <c r="AH36" i="6"/>
  <c r="V36" i="6"/>
  <c r="U36" i="6"/>
  <c r="Z36" i="6" s="1"/>
  <c r="Q38" i="3"/>
  <c r="S37" i="4" l="1"/>
  <c r="W37" i="4"/>
  <c r="Z37" i="4" s="1"/>
  <c r="AI36" i="6"/>
  <c r="AF36" i="6"/>
  <c r="Y36" i="6" s="1"/>
  <c r="X36" i="6"/>
  <c r="G37" i="6" s="1"/>
  <c r="I38" i="5"/>
  <c r="J38" i="5"/>
  <c r="N38" i="5" s="1"/>
  <c r="M38" i="5"/>
  <c r="AD36" i="6"/>
  <c r="AE36" i="6" s="1"/>
  <c r="R38" i="3"/>
  <c r="W38" i="3" s="1"/>
  <c r="S38" i="3"/>
  <c r="T37" i="4" l="1"/>
  <c r="AG37" i="4"/>
  <c r="AI37" i="4"/>
  <c r="K37" i="6"/>
  <c r="H37" i="6"/>
  <c r="AD37" i="4"/>
  <c r="AE37" i="4" s="1"/>
  <c r="O38" i="5"/>
  <c r="P38" i="5"/>
  <c r="U38" i="3"/>
  <c r="Z38" i="3" s="1"/>
  <c r="AH38" i="3"/>
  <c r="V38" i="3"/>
  <c r="AG38" i="3"/>
  <c r="T38" i="3"/>
  <c r="L38" i="5"/>
  <c r="Q38" i="5" l="1"/>
  <c r="X37" i="4"/>
  <c r="G38" i="4" s="1"/>
  <c r="AF37" i="4"/>
  <c r="I37" i="6"/>
  <c r="L37" i="6" s="1"/>
  <c r="J37" i="6"/>
  <c r="N37" i="6" s="1"/>
  <c r="M37" i="6"/>
  <c r="AD38" i="3"/>
  <c r="AE38" i="3" s="1"/>
  <c r="X38" i="3"/>
  <c r="G39" i="3" s="1"/>
  <c r="AI38" i="3"/>
  <c r="AF38" i="3"/>
  <c r="Y38" i="3" s="1"/>
  <c r="H38" i="4" l="1"/>
  <c r="K38" i="4"/>
  <c r="U38" i="4"/>
  <c r="V38" i="4"/>
  <c r="Y38" i="4"/>
  <c r="AH38" i="4"/>
  <c r="R38" i="5"/>
  <c r="P37" i="6"/>
  <c r="O37" i="6"/>
  <c r="K39" i="3"/>
  <c r="H39" i="3"/>
  <c r="Q37" i="6"/>
  <c r="M38" i="4" l="1"/>
  <c r="J38" i="4"/>
  <c r="N38" i="4" s="1"/>
  <c r="I38" i="4"/>
  <c r="L38" i="4" s="1"/>
  <c r="W38" i="5"/>
  <c r="S38" i="5"/>
  <c r="J39" i="3"/>
  <c r="N39" i="3" s="1"/>
  <c r="M39" i="3"/>
  <c r="I39" i="3"/>
  <c r="R37" i="6"/>
  <c r="O38" i="4" l="1"/>
  <c r="P38" i="4"/>
  <c r="U38" i="5"/>
  <c r="Z38" i="5" s="1"/>
  <c r="AH38" i="5"/>
  <c r="AG38" i="5"/>
  <c r="AI38" i="5" s="1"/>
  <c r="T38" i="5"/>
  <c r="V38" i="5"/>
  <c r="L39" i="3"/>
  <c r="P39" i="3"/>
  <c r="O39" i="3"/>
  <c r="W37" i="6"/>
  <c r="S37" i="6"/>
  <c r="AD38" i="5" l="1"/>
  <c r="AE38" i="5"/>
  <c r="X38" i="5"/>
  <c r="G39" i="5" s="1"/>
  <c r="AF38" i="5"/>
  <c r="Y38" i="5" s="1"/>
  <c r="Q38" i="4"/>
  <c r="AG37" i="6"/>
  <c r="AI37" i="6" s="1"/>
  <c r="Y37" i="6" s="1"/>
  <c r="AF37" i="6"/>
  <c r="T37" i="6"/>
  <c r="AH37" i="6"/>
  <c r="X37" i="6"/>
  <c r="G38" i="6" s="1"/>
  <c r="V37" i="6"/>
  <c r="U37" i="6"/>
  <c r="Z37" i="6" s="1"/>
  <c r="Q39" i="3"/>
  <c r="K39" i="5" l="1"/>
  <c r="H39" i="5"/>
  <c r="R38" i="4"/>
  <c r="K38" i="6"/>
  <c r="H38" i="6"/>
  <c r="AD37" i="6"/>
  <c r="AE37" i="6" s="1"/>
  <c r="R39" i="3"/>
  <c r="M39" i="5" l="1"/>
  <c r="J39" i="5"/>
  <c r="N39" i="5" s="1"/>
  <c r="I39" i="5"/>
  <c r="W38" i="4"/>
  <c r="Z38" i="4" s="1"/>
  <c r="AD38" i="4" s="1"/>
  <c r="AE38" i="4" s="1"/>
  <c r="S38" i="4"/>
  <c r="W39" i="3"/>
  <c r="S39" i="3"/>
  <c r="I38" i="6"/>
  <c r="J38" i="6"/>
  <c r="N38" i="6" s="1"/>
  <c r="M38" i="6"/>
  <c r="V39" i="3"/>
  <c r="AH39" i="3"/>
  <c r="U39" i="3"/>
  <c r="Z39" i="3" s="1"/>
  <c r="T39" i="3"/>
  <c r="AG39" i="3"/>
  <c r="AI39" i="3"/>
  <c r="P39" i="5" l="1"/>
  <c r="O39" i="5"/>
  <c r="T38" i="4"/>
  <c r="AG38" i="4"/>
  <c r="AI38" i="4" s="1"/>
  <c r="X38" i="4"/>
  <c r="G39" i="4" s="1"/>
  <c r="AF38" i="4"/>
  <c r="L39" i="5"/>
  <c r="L38" i="6"/>
  <c r="P38" i="6"/>
  <c r="O38" i="6"/>
  <c r="AD39" i="3"/>
  <c r="AE39" i="3" s="1"/>
  <c r="X39" i="3"/>
  <c r="G40" i="3" s="1"/>
  <c r="AF39" i="3"/>
  <c r="Y39" i="3" s="1"/>
  <c r="AH39" i="4" l="1"/>
  <c r="Y39" i="4"/>
  <c r="V39" i="4"/>
  <c r="U39" i="4"/>
  <c r="K39" i="4"/>
  <c r="H39" i="4"/>
  <c r="Q39" i="5"/>
  <c r="K40" i="3"/>
  <c r="H40" i="3"/>
  <c r="Q38" i="6"/>
  <c r="M39" i="4" l="1"/>
  <c r="I39" i="4"/>
  <c r="L39" i="4" s="1"/>
  <c r="J39" i="4"/>
  <c r="N39" i="4" s="1"/>
  <c r="R39" i="5"/>
  <c r="W39" i="5" s="1"/>
  <c r="S39" i="5"/>
  <c r="J40" i="3"/>
  <c r="N40" i="3" s="1"/>
  <c r="M40" i="3"/>
  <c r="I40" i="3"/>
  <c r="R38" i="6"/>
  <c r="AG39" i="5"/>
  <c r="AI39" i="5" s="1"/>
  <c r="Y39" i="5" s="1"/>
  <c r="AF39" i="5"/>
  <c r="P39" i="4" l="1"/>
  <c r="Q39" i="4" s="1"/>
  <c r="O39" i="4"/>
  <c r="T39" i="5"/>
  <c r="V39" i="5"/>
  <c r="AH39" i="5"/>
  <c r="X39" i="5"/>
  <c r="G40" i="5" s="1"/>
  <c r="K40" i="5" s="1"/>
  <c r="U39" i="5"/>
  <c r="Z39" i="5" s="1"/>
  <c r="O40" i="3"/>
  <c r="P40" i="3"/>
  <c r="Q40" i="3" s="1"/>
  <c r="H40" i="5"/>
  <c r="AD39" i="5"/>
  <c r="AE39" i="5" s="1"/>
  <c r="L40" i="3"/>
  <c r="W38" i="6"/>
  <c r="S38" i="6"/>
  <c r="R39" i="4" l="1"/>
  <c r="R40" i="3"/>
  <c r="I40" i="5"/>
  <c r="J40" i="5"/>
  <c r="N40" i="5" s="1"/>
  <c r="M40" i="5"/>
  <c r="AD39" i="4"/>
  <c r="AE39" i="4" s="1"/>
  <c r="AG38" i="6"/>
  <c r="T38" i="6"/>
  <c r="V38" i="6"/>
  <c r="U38" i="6"/>
  <c r="Z38" i="6" s="1"/>
  <c r="AH38" i="6"/>
  <c r="W39" i="4" l="1"/>
  <c r="Z39" i="4" s="1"/>
  <c r="S39" i="4"/>
  <c r="AI38" i="6"/>
  <c r="AF38" i="6"/>
  <c r="Y38" i="6" s="1"/>
  <c r="X38" i="6"/>
  <c r="G39" i="6" s="1"/>
  <c r="O40" i="5"/>
  <c r="P40" i="5"/>
  <c r="Q40" i="5" s="1"/>
  <c r="AD38" i="6"/>
  <c r="AE38" i="6" s="1"/>
  <c r="L40" i="5"/>
  <c r="W40" i="3"/>
  <c r="S40" i="3"/>
  <c r="AG39" i="4" l="1"/>
  <c r="AI39" i="4" s="1"/>
  <c r="AF39" i="4"/>
  <c r="T39" i="4"/>
  <c r="X39" i="4"/>
  <c r="G40" i="4" s="1"/>
  <c r="K39" i="6"/>
  <c r="H39" i="6"/>
  <c r="R40" i="5"/>
  <c r="I39" i="6"/>
  <c r="J39" i="6"/>
  <c r="N39" i="6" s="1"/>
  <c r="M39" i="6"/>
  <c r="AG40" i="3"/>
  <c r="T40" i="3"/>
  <c r="AF40" i="3"/>
  <c r="U40" i="3"/>
  <c r="Z40" i="3" s="1"/>
  <c r="AH40" i="3"/>
  <c r="V40" i="3"/>
  <c r="K40" i="4" l="1"/>
  <c r="Y40" i="4"/>
  <c r="V40" i="4"/>
  <c r="H40" i="4"/>
  <c r="U40" i="4"/>
  <c r="AH40" i="4"/>
  <c r="Y40" i="3"/>
  <c r="AI40" i="3"/>
  <c r="X40" i="3"/>
  <c r="G41" i="3" s="1"/>
  <c r="P39" i="6"/>
  <c r="O39" i="6"/>
  <c r="AD40" i="3"/>
  <c r="AE40" i="3" s="1"/>
  <c r="L39" i="6"/>
  <c r="W40" i="5"/>
  <c r="S40" i="5"/>
  <c r="J40" i="4" l="1"/>
  <c r="N40" i="4" s="1"/>
  <c r="M40" i="4"/>
  <c r="I40" i="4"/>
  <c r="L40" i="4" s="1"/>
  <c r="H41" i="3"/>
  <c r="K41" i="3"/>
  <c r="I41" i="3"/>
  <c r="J41" i="3"/>
  <c r="N41" i="3" s="1"/>
  <c r="M41" i="3"/>
  <c r="AG40" i="5"/>
  <c r="AI40" i="5" s="1"/>
  <c r="AF40" i="5"/>
  <c r="T40" i="5"/>
  <c r="X40" i="5"/>
  <c r="G41" i="5" s="1"/>
  <c r="V40" i="5"/>
  <c r="U40" i="5"/>
  <c r="Z40" i="5" s="1"/>
  <c r="AH40" i="5"/>
  <c r="Q39" i="6"/>
  <c r="P40" i="4" l="1"/>
  <c r="Q40" i="4" s="1"/>
  <c r="O40" i="4"/>
  <c r="Y40" i="5"/>
  <c r="O41" i="3"/>
  <c r="P41" i="3"/>
  <c r="Q41" i="3" s="1"/>
  <c r="K41" i="5"/>
  <c r="H41" i="5"/>
  <c r="AD40" i="5"/>
  <c r="AE40" i="5" s="1"/>
  <c r="R39" i="6"/>
  <c r="W39" i="6" s="1"/>
  <c r="S39" i="6"/>
  <c r="L41" i="3"/>
  <c r="R40" i="4" l="1"/>
  <c r="W40" i="4" s="1"/>
  <c r="Z40" i="4" s="1"/>
  <c r="S40" i="4"/>
  <c r="R41" i="3"/>
  <c r="J41" i="5"/>
  <c r="N41" i="5" s="1"/>
  <c r="M41" i="5"/>
  <c r="I41" i="5"/>
  <c r="L41" i="5" s="1"/>
  <c r="U39" i="6"/>
  <c r="Z39" i="6" s="1"/>
  <c r="V39" i="6"/>
  <c r="AH39" i="6"/>
  <c r="T39" i="6"/>
  <c r="AG39" i="6"/>
  <c r="AI39" i="6"/>
  <c r="AD40" i="4" l="1"/>
  <c r="AE40" i="4"/>
  <c r="AG40" i="4"/>
  <c r="T40" i="4"/>
  <c r="O41" i="5"/>
  <c r="P41" i="5"/>
  <c r="Q41" i="5" s="1"/>
  <c r="AD39" i="6"/>
  <c r="AE39" i="6"/>
  <c r="W41" i="3"/>
  <c r="S41" i="3"/>
  <c r="X39" i="6"/>
  <c r="G40" i="6" s="1"/>
  <c r="AF39" i="6"/>
  <c r="Y39" i="6" s="1"/>
  <c r="X40" i="4" l="1"/>
  <c r="G41" i="4" s="1"/>
  <c r="AI40" i="4"/>
  <c r="AF40" i="4"/>
  <c r="R41" i="5"/>
  <c r="AG41" i="3"/>
  <c r="T41" i="3"/>
  <c r="U41" i="3"/>
  <c r="Z41" i="3" s="1"/>
  <c r="AH41" i="3"/>
  <c r="V41" i="3"/>
  <c r="H40" i="6"/>
  <c r="K40" i="6"/>
  <c r="U41" i="4" l="1"/>
  <c r="AH41" i="4"/>
  <c r="V41" i="4"/>
  <c r="H41" i="4"/>
  <c r="K41" i="4"/>
  <c r="Y41" i="4"/>
  <c r="AI41" i="3"/>
  <c r="AF41" i="3"/>
  <c r="Y41" i="3" s="1"/>
  <c r="X41" i="3"/>
  <c r="G42" i="3" s="1"/>
  <c r="AD41" i="3"/>
  <c r="AE41" i="3" s="1"/>
  <c r="I40" i="6"/>
  <c r="J40" i="6"/>
  <c r="N40" i="6" s="1"/>
  <c r="M40" i="6"/>
  <c r="W41" i="5"/>
  <c r="S41" i="5"/>
  <c r="M41" i="4" l="1"/>
  <c r="J41" i="4"/>
  <c r="N41" i="4" s="1"/>
  <c r="I41" i="4"/>
  <c r="L41" i="4" s="1"/>
  <c r="K42" i="3"/>
  <c r="H42" i="3"/>
  <c r="M42" i="3"/>
  <c r="I42" i="3"/>
  <c r="J42" i="3"/>
  <c r="N42" i="3" s="1"/>
  <c r="P40" i="6"/>
  <c r="O40" i="6"/>
  <c r="AG41" i="5"/>
  <c r="T41" i="5"/>
  <c r="U41" i="5"/>
  <c r="Z41" i="5" s="1"/>
  <c r="AH41" i="5"/>
  <c r="V41" i="5"/>
  <c r="L40" i="6"/>
  <c r="O41" i="4" l="1"/>
  <c r="P41" i="4"/>
  <c r="Q41" i="4" s="1"/>
  <c r="AI41" i="5"/>
  <c r="AF41" i="5"/>
  <c r="Y41" i="5" s="1"/>
  <c r="X41" i="5"/>
  <c r="G42" i="5" s="1"/>
  <c r="O42" i="3"/>
  <c r="P42" i="3"/>
  <c r="Q42" i="3" s="1"/>
  <c r="AD41" i="5"/>
  <c r="AE41" i="5" s="1"/>
  <c r="L42" i="3"/>
  <c r="Q40" i="6"/>
  <c r="R41" i="4" l="1"/>
  <c r="W41" i="4" s="1"/>
  <c r="Z41" i="4" s="1"/>
  <c r="AD41" i="4" s="1"/>
  <c r="AE41" i="4" s="1"/>
  <c r="S41" i="4"/>
  <c r="K42" i="5"/>
  <c r="H42" i="5"/>
  <c r="R42" i="3"/>
  <c r="J42" i="5"/>
  <c r="N42" i="5" s="1"/>
  <c r="R40" i="6"/>
  <c r="T41" i="4" l="1"/>
  <c r="AG41" i="4"/>
  <c r="M42" i="5"/>
  <c r="I42" i="5"/>
  <c r="L42" i="5" s="1"/>
  <c r="W42" i="3"/>
  <c r="S42" i="3"/>
  <c r="W40" i="6"/>
  <c r="S40" i="6"/>
  <c r="AF41" i="4" l="1"/>
  <c r="AI41" i="4"/>
  <c r="X41" i="4"/>
  <c r="G42" i="4" s="1"/>
  <c r="O42" i="5"/>
  <c r="P42" i="5"/>
  <c r="Q42" i="5" s="1"/>
  <c r="R42" i="5"/>
  <c r="T42" i="3"/>
  <c r="AG42" i="3"/>
  <c r="AH42" i="3"/>
  <c r="U42" i="3"/>
  <c r="Z42" i="3" s="1"/>
  <c r="X42" i="3"/>
  <c r="G43" i="3" s="1"/>
  <c r="V42" i="3"/>
  <c r="AG40" i="6"/>
  <c r="T40" i="6"/>
  <c r="U40" i="6"/>
  <c r="Z40" i="6" s="1"/>
  <c r="V40" i="6"/>
  <c r="X40" i="6"/>
  <c r="G41" i="6" s="1"/>
  <c r="AH40" i="6"/>
  <c r="K42" i="4" l="1"/>
  <c r="H42" i="4"/>
  <c r="Y42" i="4"/>
  <c r="U42" i="4"/>
  <c r="AH42" i="4"/>
  <c r="V42" i="4"/>
  <c r="AI40" i="6"/>
  <c r="AF40" i="6"/>
  <c r="Y40" i="6" s="1"/>
  <c r="AD42" i="3"/>
  <c r="AE42" i="3"/>
  <c r="K43" i="3"/>
  <c r="H43" i="3"/>
  <c r="AD40" i="6"/>
  <c r="AE40" i="6" s="1"/>
  <c r="K41" i="6"/>
  <c r="H41" i="6"/>
  <c r="W42" i="5"/>
  <c r="S42" i="5"/>
  <c r="AF42" i="3"/>
  <c r="AI42" i="3"/>
  <c r="J42" i="4" l="1"/>
  <c r="N42" i="4" s="1"/>
  <c r="M42" i="4"/>
  <c r="I42" i="4"/>
  <c r="L42" i="4" s="1"/>
  <c r="Y42" i="3"/>
  <c r="J43" i="3"/>
  <c r="N43" i="3" s="1"/>
  <c r="M43" i="3"/>
  <c r="I43" i="3"/>
  <c r="L43" i="3" s="1"/>
  <c r="I41" i="6"/>
  <c r="J41" i="6"/>
  <c r="N41" i="6" s="1"/>
  <c r="M41" i="6"/>
  <c r="T42" i="5"/>
  <c r="AG42" i="5"/>
  <c r="AF42" i="5"/>
  <c r="V42" i="5"/>
  <c r="U42" i="5"/>
  <c r="Z42" i="5" s="1"/>
  <c r="AH42" i="5"/>
  <c r="P42" i="4" l="1"/>
  <c r="O42" i="4"/>
  <c r="Y42" i="5"/>
  <c r="AI42" i="5"/>
  <c r="X42" i="5"/>
  <c r="G43" i="5" s="1"/>
  <c r="H43" i="5" s="1"/>
  <c r="O43" i="3"/>
  <c r="P43" i="3"/>
  <c r="O41" i="6"/>
  <c r="P41" i="6"/>
  <c r="Q41" i="6" s="1"/>
  <c r="K43" i="5"/>
  <c r="AD42" i="5"/>
  <c r="AE42" i="5" s="1"/>
  <c r="L41" i="6"/>
  <c r="Q42" i="4" l="1"/>
  <c r="R41" i="6"/>
  <c r="J43" i="5"/>
  <c r="N43" i="5" s="1"/>
  <c r="I43" i="5"/>
  <c r="L43" i="5" s="1"/>
  <c r="M43" i="5"/>
  <c r="Q43" i="3"/>
  <c r="S42" i="4" l="1"/>
  <c r="R42" i="4"/>
  <c r="W42" i="4" s="1"/>
  <c r="Z42" i="4" s="1"/>
  <c r="AD42" i="4" s="1"/>
  <c r="AE42" i="4" s="1"/>
  <c r="O43" i="5"/>
  <c r="P43" i="5"/>
  <c r="Q43" i="5" s="1"/>
  <c r="R43" i="3"/>
  <c r="W41" i="6"/>
  <c r="S41" i="6"/>
  <c r="AG42" i="4" l="1"/>
  <c r="T42" i="4"/>
  <c r="R43" i="5"/>
  <c r="AG41" i="6"/>
  <c r="AI41" i="6" s="1"/>
  <c r="Y41" i="6" s="1"/>
  <c r="AF41" i="6"/>
  <c r="T41" i="6"/>
  <c r="AH41" i="6"/>
  <c r="X41" i="6"/>
  <c r="G42" i="6" s="1"/>
  <c r="V41" i="6"/>
  <c r="U41" i="6"/>
  <c r="Z41" i="6" s="1"/>
  <c r="W43" i="3"/>
  <c r="S43" i="3"/>
  <c r="AF42" i="4" l="1"/>
  <c r="X42" i="4"/>
  <c r="G43" i="4" s="1"/>
  <c r="AI42" i="4"/>
  <c r="K42" i="6"/>
  <c r="H42" i="6"/>
  <c r="AD41" i="6"/>
  <c r="AE41" i="6" s="1"/>
  <c r="T43" i="3"/>
  <c r="AG43" i="3"/>
  <c r="V43" i="3"/>
  <c r="AH43" i="3"/>
  <c r="U43" i="3"/>
  <c r="Z43" i="3" s="1"/>
  <c r="X43" i="3"/>
  <c r="G44" i="3" s="1"/>
  <c r="W43" i="5"/>
  <c r="S43" i="5"/>
  <c r="Y43" i="4" l="1"/>
  <c r="V43" i="4"/>
  <c r="K43" i="4"/>
  <c r="AH43" i="4"/>
  <c r="U43" i="4"/>
  <c r="H43" i="4"/>
  <c r="I42" i="6"/>
  <c r="J42" i="6"/>
  <c r="N42" i="6" s="1"/>
  <c r="M42" i="6"/>
  <c r="AD43" i="3"/>
  <c r="AE43" i="3"/>
  <c r="H44" i="3"/>
  <c r="K44" i="3"/>
  <c r="AG43" i="5"/>
  <c r="AI43" i="5" s="1"/>
  <c r="AF43" i="5"/>
  <c r="T43" i="5"/>
  <c r="V43" i="5"/>
  <c r="U43" i="5"/>
  <c r="Z43" i="5" s="1"/>
  <c r="AH43" i="5"/>
  <c r="X43" i="5"/>
  <c r="G44" i="5" s="1"/>
  <c r="AI43" i="3"/>
  <c r="AF43" i="3"/>
  <c r="M43" i="4" l="1"/>
  <c r="J43" i="4"/>
  <c r="N43" i="4" s="1"/>
  <c r="I43" i="4"/>
  <c r="Y43" i="5"/>
  <c r="P42" i="6"/>
  <c r="O42" i="6"/>
  <c r="J44" i="3"/>
  <c r="N44" i="3" s="1"/>
  <c r="I44" i="3"/>
  <c r="L44" i="3" s="1"/>
  <c r="M44" i="3"/>
  <c r="AD43" i="5"/>
  <c r="AE43" i="5" s="1"/>
  <c r="K44" i="5"/>
  <c r="H44" i="5"/>
  <c r="L42" i="6"/>
  <c r="Y43" i="3"/>
  <c r="P43" i="4" l="1"/>
  <c r="Q43" i="4" s="1"/>
  <c r="O43" i="4"/>
  <c r="L43" i="4"/>
  <c r="O44" i="3"/>
  <c r="P44" i="3"/>
  <c r="J44" i="5"/>
  <c r="N44" i="5" s="1"/>
  <c r="M44" i="5"/>
  <c r="I44" i="5"/>
  <c r="Q42" i="6"/>
  <c r="S43" i="4" l="1"/>
  <c r="R43" i="4"/>
  <c r="W43" i="4" s="1"/>
  <c r="Z43" i="4" s="1"/>
  <c r="AD43" i="4" s="1"/>
  <c r="AE43" i="4" s="1"/>
  <c r="Q44" i="3"/>
  <c r="R44" i="3"/>
  <c r="O44" i="5"/>
  <c r="P44" i="5"/>
  <c r="Q44" i="5" s="1"/>
  <c r="R42" i="6"/>
  <c r="L44" i="5"/>
  <c r="AG43" i="4" l="1"/>
  <c r="T43" i="4"/>
  <c r="R44" i="5"/>
  <c r="W44" i="3"/>
  <c r="S44" i="3"/>
  <c r="W42" i="6"/>
  <c r="S42" i="6"/>
  <c r="X43" i="4" l="1"/>
  <c r="G44" i="4" s="1"/>
  <c r="AI43" i="4"/>
  <c r="AF43" i="4"/>
  <c r="T44" i="3"/>
  <c r="AG44" i="3"/>
  <c r="AH44" i="3"/>
  <c r="U44" i="3"/>
  <c r="Z44" i="3" s="1"/>
  <c r="X44" i="3"/>
  <c r="G45" i="3" s="1"/>
  <c r="V44" i="3"/>
  <c r="AG42" i="6"/>
  <c r="T42" i="6"/>
  <c r="AH42" i="6"/>
  <c r="X42" i="6"/>
  <c r="G43" i="6" s="1"/>
  <c r="V42" i="6"/>
  <c r="U42" i="6"/>
  <c r="Z42" i="6" s="1"/>
  <c r="W44" i="5"/>
  <c r="S44" i="5"/>
  <c r="H44" i="4" l="1"/>
  <c r="U44" i="4"/>
  <c r="K44" i="4"/>
  <c r="V44" i="4"/>
  <c r="Y44" i="4"/>
  <c r="AH44" i="4"/>
  <c r="AD44" i="3"/>
  <c r="AE44" i="3" s="1"/>
  <c r="K45" i="3"/>
  <c r="H45" i="3"/>
  <c r="K43" i="6"/>
  <c r="H43" i="6"/>
  <c r="AD42" i="6"/>
  <c r="AE42" i="6" s="1"/>
  <c r="AG44" i="5"/>
  <c r="AI44" i="5" s="1"/>
  <c r="AF44" i="5"/>
  <c r="T44" i="5"/>
  <c r="AH44" i="5"/>
  <c r="X44" i="5"/>
  <c r="G45" i="5" s="1"/>
  <c r="U44" i="5"/>
  <c r="Z44" i="5" s="1"/>
  <c r="V44" i="5"/>
  <c r="AI44" i="3"/>
  <c r="AF44" i="3"/>
  <c r="Y44" i="3" s="1"/>
  <c r="AI42" i="6"/>
  <c r="AF42" i="6"/>
  <c r="Y42" i="6" s="1"/>
  <c r="M44" i="4" l="1"/>
  <c r="J44" i="4"/>
  <c r="N44" i="4" s="1"/>
  <c r="I44" i="4"/>
  <c r="L44" i="4" s="1"/>
  <c r="Y44" i="5"/>
  <c r="I45" i="3"/>
  <c r="J45" i="3"/>
  <c r="N45" i="3" s="1"/>
  <c r="M45" i="3"/>
  <c r="I43" i="6"/>
  <c r="J43" i="6"/>
  <c r="N43" i="6" s="1"/>
  <c r="M43" i="6"/>
  <c r="H45" i="5"/>
  <c r="K45" i="5"/>
  <c r="AD44" i="5"/>
  <c r="AE44" i="5" s="1"/>
  <c r="P44" i="4" l="1"/>
  <c r="Q44" i="4" s="1"/>
  <c r="O44" i="4"/>
  <c r="L43" i="6"/>
  <c r="O45" i="3"/>
  <c r="P45" i="3"/>
  <c r="Q45" i="3" s="1"/>
  <c r="P43" i="6"/>
  <c r="Q43" i="6" s="1"/>
  <c r="O43" i="6"/>
  <c r="J45" i="5"/>
  <c r="N45" i="5" s="1"/>
  <c r="I45" i="5"/>
  <c r="M45" i="5"/>
  <c r="L45" i="3"/>
  <c r="R44" i="4" l="1"/>
  <c r="L45" i="5"/>
  <c r="R45" i="3"/>
  <c r="R43" i="6"/>
  <c r="O45" i="5"/>
  <c r="P45" i="5"/>
  <c r="Q45" i="5" s="1"/>
  <c r="W44" i="4" l="1"/>
  <c r="Z44" i="4" s="1"/>
  <c r="AD44" i="4" s="1"/>
  <c r="AE44" i="4" s="1"/>
  <c r="S44" i="4"/>
  <c r="R45" i="5"/>
  <c r="W45" i="3"/>
  <c r="S45" i="3"/>
  <c r="W43" i="6"/>
  <c r="S43" i="6"/>
  <c r="T44" i="4" l="1"/>
  <c r="AG44" i="4"/>
  <c r="AF44" i="4" s="1"/>
  <c r="AI44" i="4"/>
  <c r="X44" i="4"/>
  <c r="G45" i="4" s="1"/>
  <c r="AG45" i="3"/>
  <c r="AI45" i="3" s="1"/>
  <c r="AF45" i="3"/>
  <c r="T45" i="3"/>
  <c r="U45" i="3"/>
  <c r="Z45" i="3" s="1"/>
  <c r="V45" i="3"/>
  <c r="AH45" i="3"/>
  <c r="X45" i="3"/>
  <c r="G46" i="3" s="1"/>
  <c r="AG43" i="6"/>
  <c r="AI43" i="6" s="1"/>
  <c r="AF43" i="6"/>
  <c r="T43" i="6"/>
  <c r="AH43" i="6"/>
  <c r="X43" i="6"/>
  <c r="G44" i="6" s="1"/>
  <c r="V43" i="6"/>
  <c r="U43" i="6"/>
  <c r="Z43" i="6" s="1"/>
  <c r="W45" i="5"/>
  <c r="S45" i="5"/>
  <c r="AH45" i="4" l="1"/>
  <c r="Y45" i="4"/>
  <c r="V45" i="4"/>
  <c r="U45" i="4"/>
  <c r="K45" i="4"/>
  <c r="H45" i="4"/>
  <c r="Y45" i="3"/>
  <c r="Y43" i="6"/>
  <c r="AD45" i="3"/>
  <c r="AE45" i="3" s="1"/>
  <c r="H46" i="3"/>
  <c r="K46" i="3"/>
  <c r="K44" i="6"/>
  <c r="H44" i="6"/>
  <c r="AD43" i="6"/>
  <c r="AE43" i="6"/>
  <c r="AG45" i="5"/>
  <c r="M45" i="4" l="1"/>
  <c r="J45" i="4"/>
  <c r="N45" i="4" s="1"/>
  <c r="I45" i="4"/>
  <c r="J46" i="3"/>
  <c r="N46" i="3" s="1"/>
  <c r="M46" i="3"/>
  <c r="I46" i="3"/>
  <c r="I44" i="6"/>
  <c r="J44" i="6"/>
  <c r="N44" i="6" s="1"/>
  <c r="M44" i="6"/>
  <c r="AI45" i="5"/>
  <c r="AF45" i="5"/>
  <c r="Y45" i="5" s="1"/>
  <c r="T45" i="5"/>
  <c r="U45" i="5" s="1"/>
  <c r="Z45" i="5" s="1"/>
  <c r="AH45" i="5"/>
  <c r="V45" i="5"/>
  <c r="X45" i="5"/>
  <c r="G46" i="5" s="1"/>
  <c r="P45" i="4" l="1"/>
  <c r="O45" i="4"/>
  <c r="L45" i="4"/>
  <c r="P46" i="3"/>
  <c r="O46" i="3"/>
  <c r="P44" i="6"/>
  <c r="O44" i="6"/>
  <c r="AD45" i="5"/>
  <c r="AE45" i="5" s="1"/>
  <c r="K46" i="5"/>
  <c r="V46" i="5"/>
  <c r="AH46" i="5"/>
  <c r="H46" i="5"/>
  <c r="U46" i="5"/>
  <c r="Y46" i="5"/>
  <c r="L46" i="3"/>
  <c r="L44" i="6"/>
  <c r="Q45" i="4" l="1"/>
  <c r="J46" i="5"/>
  <c r="N46" i="5" s="1"/>
  <c r="I46" i="5"/>
  <c r="M46" i="5"/>
  <c r="Q44" i="6"/>
  <c r="Q46" i="3"/>
  <c r="R45" i="4" l="1"/>
  <c r="O46" i="5"/>
  <c r="P46" i="5"/>
  <c r="Q46" i="5" s="1"/>
  <c r="R44" i="6"/>
  <c r="R46" i="3"/>
  <c r="L46" i="5"/>
  <c r="W45" i="4" l="1"/>
  <c r="Z45" i="4" s="1"/>
  <c r="S45" i="4"/>
  <c r="R46" i="5"/>
  <c r="W44" i="6"/>
  <c r="S44" i="6"/>
  <c r="W46" i="3"/>
  <c r="S46" i="3"/>
  <c r="AD45" i="4" l="1"/>
  <c r="AE45" i="4" s="1"/>
  <c r="T45" i="4"/>
  <c r="AG45" i="4"/>
  <c r="AI45" i="4"/>
  <c r="AF45" i="4"/>
  <c r="X45" i="4"/>
  <c r="G46" i="4" s="1"/>
  <c r="AG44" i="6"/>
  <c r="AF44" i="6"/>
  <c r="T44" i="6"/>
  <c r="AH44" i="6"/>
  <c r="V44" i="6"/>
  <c r="U44" i="6"/>
  <c r="Z44" i="6" s="1"/>
  <c r="AG46" i="3"/>
  <c r="T46" i="3"/>
  <c r="V46" i="3"/>
  <c r="X46" i="3"/>
  <c r="G47" i="3" s="1"/>
  <c r="AH46" i="3"/>
  <c r="U46" i="3"/>
  <c r="Z46" i="3" s="1"/>
  <c r="W46" i="5"/>
  <c r="S46" i="5"/>
  <c r="H46" i="4" l="1"/>
  <c r="K46" i="4"/>
  <c r="U46" i="4"/>
  <c r="V46" i="4"/>
  <c r="Y46" i="4"/>
  <c r="AH46" i="4"/>
  <c r="AI44" i="6"/>
  <c r="X44" i="6"/>
  <c r="G45" i="6" s="1"/>
  <c r="H45" i="6" s="1"/>
  <c r="K45" i="6"/>
  <c r="AD44" i="6"/>
  <c r="AE44" i="6" s="1"/>
  <c r="K47" i="3"/>
  <c r="H47" i="3"/>
  <c r="AD46" i="3"/>
  <c r="AE46" i="3" s="1"/>
  <c r="Z46" i="5"/>
  <c r="AG46" i="5"/>
  <c r="X46" i="5" s="1"/>
  <c r="G47" i="5" s="1"/>
  <c r="T46" i="5"/>
  <c r="Y44" i="6"/>
  <c r="AF46" i="3"/>
  <c r="AI46" i="3"/>
  <c r="M46" i="4" l="1"/>
  <c r="J46" i="4"/>
  <c r="N46" i="4" s="1"/>
  <c r="I46" i="4"/>
  <c r="I45" i="6"/>
  <c r="J45" i="6"/>
  <c r="N45" i="6" s="1"/>
  <c r="M45" i="6"/>
  <c r="M47" i="3"/>
  <c r="J47" i="3"/>
  <c r="N47" i="3" s="1"/>
  <c r="I47" i="3"/>
  <c r="L47" i="3" s="1"/>
  <c r="AD46" i="5"/>
  <c r="AE46" i="5" s="1"/>
  <c r="Y47" i="5"/>
  <c r="V47" i="5"/>
  <c r="H47" i="5"/>
  <c r="AH47" i="5"/>
  <c r="U47" i="5"/>
  <c r="K47" i="5"/>
  <c r="Y46" i="3"/>
  <c r="AF46" i="5"/>
  <c r="AI46" i="5"/>
  <c r="P46" i="4" l="1"/>
  <c r="Q46" i="4" s="1"/>
  <c r="O46" i="4"/>
  <c r="L46" i="4"/>
  <c r="P45" i="6"/>
  <c r="O45" i="6"/>
  <c r="P47" i="3"/>
  <c r="Q47" i="3" s="1"/>
  <c r="O47" i="3"/>
  <c r="J47" i="5"/>
  <c r="N47" i="5" s="1"/>
  <c r="M47" i="5"/>
  <c r="I47" i="5"/>
  <c r="L45" i="6"/>
  <c r="R46" i="4" l="1"/>
  <c r="L47" i="5"/>
  <c r="R47" i="3"/>
  <c r="O47" i="5"/>
  <c r="P47" i="5"/>
  <c r="Q45" i="6"/>
  <c r="Q47" i="5" l="1"/>
  <c r="R47" i="5" s="1"/>
  <c r="W46" i="4"/>
  <c r="Z46" i="4" s="1"/>
  <c r="AD46" i="4" s="1"/>
  <c r="AE46" i="4" s="1"/>
  <c r="S46" i="4"/>
  <c r="R45" i="6"/>
  <c r="W47" i="3"/>
  <c r="S47" i="3"/>
  <c r="T46" i="4" l="1"/>
  <c r="AG46" i="4"/>
  <c r="X46" i="4"/>
  <c r="G47" i="4" s="1"/>
  <c r="T47" i="3"/>
  <c r="AG47" i="3"/>
  <c r="AH47" i="3"/>
  <c r="V47" i="3"/>
  <c r="U47" i="3"/>
  <c r="Z47" i="3" s="1"/>
  <c r="W47" i="5"/>
  <c r="S47" i="5"/>
  <c r="W45" i="6"/>
  <c r="S45" i="6"/>
  <c r="H47" i="4" l="1"/>
  <c r="K47" i="4"/>
  <c r="U47" i="4"/>
  <c r="V47" i="4"/>
  <c r="Y47" i="4"/>
  <c r="AH47" i="4"/>
  <c r="AI46" i="4"/>
  <c r="AF46" i="4"/>
  <c r="AI47" i="3"/>
  <c r="AF47" i="3"/>
  <c r="Y47" i="3" s="1"/>
  <c r="X47" i="3"/>
  <c r="G48" i="3" s="1"/>
  <c r="AD47" i="3"/>
  <c r="AE47" i="3" s="1"/>
  <c r="K48" i="3"/>
  <c r="H48" i="3"/>
  <c r="Z47" i="5"/>
  <c r="AF47" i="5"/>
  <c r="AG47" i="5"/>
  <c r="AI47" i="5" s="1"/>
  <c r="T47" i="5"/>
  <c r="X47" i="5"/>
  <c r="G48" i="5" s="1"/>
  <c r="AG45" i="6"/>
  <c r="M47" i="4" l="1"/>
  <c r="J47" i="4"/>
  <c r="N47" i="4" s="1"/>
  <c r="I47" i="4"/>
  <c r="J48" i="3"/>
  <c r="N48" i="3" s="1"/>
  <c r="I48" i="3"/>
  <c r="L48" i="3" s="1"/>
  <c r="M48" i="3"/>
  <c r="AD47" i="5"/>
  <c r="AE47" i="5" s="1"/>
  <c r="H48" i="5"/>
  <c r="AH48" i="5"/>
  <c r="Y48" i="5"/>
  <c r="V48" i="5"/>
  <c r="U48" i="5"/>
  <c r="K48" i="5"/>
  <c r="X45" i="6"/>
  <c r="G46" i="6" s="1"/>
  <c r="V45" i="6"/>
  <c r="AI45" i="6"/>
  <c r="AF45" i="6"/>
  <c r="T45" i="6"/>
  <c r="U45" i="6" s="1"/>
  <c r="Z45" i="6" s="1"/>
  <c r="AH45" i="6"/>
  <c r="P47" i="4" l="1"/>
  <c r="Q47" i="4" s="1"/>
  <c r="O47" i="4"/>
  <c r="L47" i="4"/>
  <c r="Y45" i="6"/>
  <c r="P48" i="3"/>
  <c r="O48" i="3"/>
  <c r="J48" i="5"/>
  <c r="N48" i="5" s="1"/>
  <c r="I48" i="5"/>
  <c r="M48" i="5"/>
  <c r="H46" i="6"/>
  <c r="K46" i="6"/>
  <c r="AD45" i="6"/>
  <c r="AE45" i="6" s="1"/>
  <c r="S47" i="4" l="1"/>
  <c r="R47" i="4"/>
  <c r="W47" i="4" s="1"/>
  <c r="Z47" i="4" s="1"/>
  <c r="AD47" i="4" s="1"/>
  <c r="AE47" i="4" s="1"/>
  <c r="L48" i="5"/>
  <c r="O48" i="5"/>
  <c r="P48" i="5"/>
  <c r="Q48" i="5" s="1"/>
  <c r="I46" i="6"/>
  <c r="J46" i="6"/>
  <c r="N46" i="6" s="1"/>
  <c r="M46" i="6"/>
  <c r="Q48" i="3"/>
  <c r="X47" i="4" l="1"/>
  <c r="G48" i="4" s="1"/>
  <c r="AG47" i="4"/>
  <c r="T47" i="4"/>
  <c r="R48" i="5"/>
  <c r="P46" i="6"/>
  <c r="O46" i="6"/>
  <c r="R48" i="3"/>
  <c r="L46" i="6"/>
  <c r="H48" i="4" l="1"/>
  <c r="U48" i="4"/>
  <c r="Y48" i="4"/>
  <c r="K48" i="4"/>
  <c r="V48" i="4"/>
  <c r="AH48" i="4"/>
  <c r="AF47" i="4"/>
  <c r="AI47" i="4"/>
  <c r="Q46" i="6"/>
  <c r="W48" i="5"/>
  <c r="S48" i="5"/>
  <c r="W48" i="3"/>
  <c r="S48" i="3"/>
  <c r="M48" i="4" l="1"/>
  <c r="J48" i="4"/>
  <c r="N48" i="4" s="1"/>
  <c r="I48" i="4"/>
  <c r="R46" i="6"/>
  <c r="Z48" i="5"/>
  <c r="AG48" i="5"/>
  <c r="AI48" i="5" s="1"/>
  <c r="AF48" i="5"/>
  <c r="T48" i="5"/>
  <c r="X48" i="5"/>
  <c r="G49" i="5" s="1"/>
  <c r="AG48" i="3"/>
  <c r="AI48" i="3" s="1"/>
  <c r="T48" i="3"/>
  <c r="AF48" i="3"/>
  <c r="V48" i="3"/>
  <c r="AH48" i="3"/>
  <c r="U48" i="3"/>
  <c r="Z48" i="3" s="1"/>
  <c r="X48" i="3"/>
  <c r="G49" i="3" s="1"/>
  <c r="P48" i="4" l="1"/>
  <c r="Q48" i="4" s="1"/>
  <c r="O48" i="4"/>
  <c r="L48" i="4"/>
  <c r="Y48" i="3"/>
  <c r="AD48" i="5"/>
  <c r="AE48" i="5" s="1"/>
  <c r="AH49" i="5"/>
  <c r="Y49" i="5"/>
  <c r="U49" i="5"/>
  <c r="K49" i="5"/>
  <c r="H49" i="5"/>
  <c r="V49" i="5"/>
  <c r="AD48" i="3"/>
  <c r="AE48" i="3" s="1"/>
  <c r="H49" i="3"/>
  <c r="K49" i="3"/>
  <c r="W46" i="6"/>
  <c r="S46" i="6"/>
  <c r="R48" i="4" l="1"/>
  <c r="I49" i="5"/>
  <c r="J49" i="5"/>
  <c r="N49" i="5" s="1"/>
  <c r="M49" i="5"/>
  <c r="I49" i="3"/>
  <c r="M49" i="3"/>
  <c r="J49" i="3"/>
  <c r="N49" i="3" s="1"/>
  <c r="AG46" i="6"/>
  <c r="W48" i="4" l="1"/>
  <c r="Z48" i="4" s="1"/>
  <c r="AD48" i="4" s="1"/>
  <c r="AE48" i="4" s="1"/>
  <c r="S48" i="4"/>
  <c r="P49" i="5"/>
  <c r="O49" i="5"/>
  <c r="P49" i="3"/>
  <c r="O49" i="3"/>
  <c r="L49" i="5"/>
  <c r="L49" i="3"/>
  <c r="AI46" i="6"/>
  <c r="AF46" i="6"/>
  <c r="Y46" i="6" s="1"/>
  <c r="T46" i="6"/>
  <c r="U46" i="6" s="1"/>
  <c r="Z46" i="6" s="1"/>
  <c r="X46" i="6"/>
  <c r="G47" i="6" s="1"/>
  <c r="V46" i="6"/>
  <c r="AH46" i="6"/>
  <c r="AG48" i="4" l="1"/>
  <c r="T48" i="4"/>
  <c r="Q49" i="5"/>
  <c r="R49" i="5"/>
  <c r="AD46" i="6"/>
  <c r="AE46" i="6" s="1"/>
  <c r="H47" i="6"/>
  <c r="K47" i="6"/>
  <c r="Q49" i="3"/>
  <c r="AF48" i="4" l="1"/>
  <c r="AI48" i="4"/>
  <c r="X48" i="4"/>
  <c r="G49" i="4" s="1"/>
  <c r="I47" i="6"/>
  <c r="J47" i="6"/>
  <c r="N47" i="6" s="1"/>
  <c r="M47" i="6"/>
  <c r="R49" i="3"/>
  <c r="W49" i="5"/>
  <c r="S49" i="5"/>
  <c r="K49" i="4" l="1"/>
  <c r="V49" i="4"/>
  <c r="AH49" i="4"/>
  <c r="H49" i="4"/>
  <c r="U49" i="4"/>
  <c r="Y49" i="4"/>
  <c r="P47" i="6"/>
  <c r="O47" i="6"/>
  <c r="Z49" i="5"/>
  <c r="AI49" i="5"/>
  <c r="AG49" i="5"/>
  <c r="X49" i="5" s="1"/>
  <c r="G50" i="5" s="1"/>
  <c r="AF49" i="5"/>
  <c r="T49" i="5"/>
  <c r="L47" i="6"/>
  <c r="W49" i="3"/>
  <c r="S49" i="3"/>
  <c r="M49" i="4" l="1"/>
  <c r="J49" i="4"/>
  <c r="N49" i="4" s="1"/>
  <c r="I49" i="4"/>
  <c r="L49" i="4" s="1"/>
  <c r="AD49" i="5"/>
  <c r="AE49" i="5" s="1"/>
  <c r="AH50" i="5"/>
  <c r="Y50" i="5"/>
  <c r="V50" i="5"/>
  <c r="U50" i="5"/>
  <c r="K50" i="5"/>
  <c r="H50" i="5"/>
  <c r="AG49" i="3"/>
  <c r="T49" i="3"/>
  <c r="AH49" i="3"/>
  <c r="U49" i="3"/>
  <c r="Z49" i="3" s="1"/>
  <c r="V49" i="3"/>
  <c r="Q47" i="6"/>
  <c r="P49" i="4" l="1"/>
  <c r="O49" i="4"/>
  <c r="I50" i="5"/>
  <c r="J50" i="5"/>
  <c r="N50" i="5" s="1"/>
  <c r="M50" i="5"/>
  <c r="AD49" i="3"/>
  <c r="AE49" i="3" s="1"/>
  <c r="R47" i="6"/>
  <c r="X49" i="3"/>
  <c r="G50" i="3" s="1"/>
  <c r="AF49" i="3"/>
  <c r="AI49" i="3"/>
  <c r="Q49" i="4" l="1"/>
  <c r="O50" i="5"/>
  <c r="P50" i="5"/>
  <c r="Q50" i="5" s="1"/>
  <c r="H50" i="3"/>
  <c r="K50" i="3"/>
  <c r="Y49" i="3"/>
  <c r="L50" i="5"/>
  <c r="W47" i="6"/>
  <c r="S47" i="6"/>
  <c r="R49" i="4" l="1"/>
  <c r="W49" i="4" s="1"/>
  <c r="Z49" i="4" s="1"/>
  <c r="AD49" i="4" s="1"/>
  <c r="AE49" i="4" s="1"/>
  <c r="S49" i="4"/>
  <c r="R50" i="5"/>
  <c r="M50" i="3"/>
  <c r="I50" i="3"/>
  <c r="J50" i="3"/>
  <c r="N50" i="3" s="1"/>
  <c r="AG47" i="6"/>
  <c r="AG49" i="4" l="1"/>
  <c r="T49" i="4"/>
  <c r="W50" i="5"/>
  <c r="S50" i="5"/>
  <c r="T47" i="6"/>
  <c r="U47" i="6" s="1"/>
  <c r="Z47" i="6" s="1"/>
  <c r="AF47" i="6"/>
  <c r="Z50" i="5"/>
  <c r="P50" i="3"/>
  <c r="O50" i="3"/>
  <c r="L50" i="3"/>
  <c r="AI47" i="6"/>
  <c r="V47" i="6"/>
  <c r="X47" i="6"/>
  <c r="G48" i="6" s="1"/>
  <c r="AH47" i="6"/>
  <c r="Y47" i="6" l="1"/>
  <c r="X49" i="4"/>
  <c r="G50" i="4" s="1"/>
  <c r="AF49" i="4"/>
  <c r="AI49" i="4"/>
  <c r="T50" i="5"/>
  <c r="AG50" i="5"/>
  <c r="AI50" i="5"/>
  <c r="AD47" i="6"/>
  <c r="AE47" i="6" s="1"/>
  <c r="AD50" i="5"/>
  <c r="AE50" i="5"/>
  <c r="H48" i="6"/>
  <c r="K48" i="6"/>
  <c r="Q50" i="3"/>
  <c r="H50" i="4" l="1"/>
  <c r="U50" i="4"/>
  <c r="V50" i="4"/>
  <c r="Y50" i="4"/>
  <c r="AH50" i="4"/>
  <c r="K50" i="4"/>
  <c r="X50" i="5"/>
  <c r="G51" i="5" s="1"/>
  <c r="AF50" i="5"/>
  <c r="I48" i="6"/>
  <c r="J48" i="6"/>
  <c r="N48" i="6" s="1"/>
  <c r="M48" i="6"/>
  <c r="R50" i="3"/>
  <c r="M50" i="4" l="1"/>
  <c r="J50" i="4"/>
  <c r="N50" i="4" s="1"/>
  <c r="I50" i="4"/>
  <c r="L50" i="4" s="1"/>
  <c r="K51" i="5"/>
  <c r="H51" i="5"/>
  <c r="U51" i="5"/>
  <c r="V51" i="5"/>
  <c r="Y51" i="5"/>
  <c r="AH51" i="5"/>
  <c r="P48" i="6"/>
  <c r="O48" i="6"/>
  <c r="L48" i="6"/>
  <c r="W50" i="3"/>
  <c r="S50" i="3"/>
  <c r="P50" i="4" l="1"/>
  <c r="Q50" i="4" s="1"/>
  <c r="O50" i="4"/>
  <c r="I51" i="5"/>
  <c r="M51" i="5"/>
  <c r="J51" i="5"/>
  <c r="N51" i="5" s="1"/>
  <c r="AI50" i="3"/>
  <c r="AG50" i="3"/>
  <c r="T50" i="3"/>
  <c r="AF50" i="3"/>
  <c r="U50" i="3"/>
  <c r="Z50" i="3" s="1"/>
  <c r="X50" i="3"/>
  <c r="G51" i="3" s="1"/>
  <c r="V50" i="3"/>
  <c r="AH50" i="3"/>
  <c r="Q48" i="6"/>
  <c r="R50" i="4" l="1"/>
  <c r="P51" i="5"/>
  <c r="O51" i="5"/>
  <c r="L51" i="5"/>
  <c r="AD50" i="3"/>
  <c r="AE50" i="3" s="1"/>
  <c r="K51" i="3"/>
  <c r="H51" i="3"/>
  <c r="R48" i="6"/>
  <c r="Y50" i="3"/>
  <c r="Q51" i="5" l="1"/>
  <c r="W50" i="4"/>
  <c r="Z50" i="4" s="1"/>
  <c r="AD50" i="4" s="1"/>
  <c r="S50" i="4"/>
  <c r="M51" i="3"/>
  <c r="J51" i="3"/>
  <c r="N51" i="3" s="1"/>
  <c r="I51" i="3"/>
  <c r="L51" i="3" s="1"/>
  <c r="W48" i="6"/>
  <c r="S48" i="6"/>
  <c r="R51" i="5" l="1"/>
  <c r="AE50" i="4"/>
  <c r="T50" i="4"/>
  <c r="AG50" i="4"/>
  <c r="AI50" i="4"/>
  <c r="AF50" i="4"/>
  <c r="X50" i="4"/>
  <c r="G51" i="4" s="1"/>
  <c r="P51" i="3"/>
  <c r="O51" i="3"/>
  <c r="AG48" i="6"/>
  <c r="H51" i="4" l="1"/>
  <c r="K51" i="4"/>
  <c r="U51" i="4"/>
  <c r="V51" i="4"/>
  <c r="Y51" i="4"/>
  <c r="AH51" i="4"/>
  <c r="W51" i="5"/>
  <c r="Z51" i="5" s="1"/>
  <c r="S51" i="5"/>
  <c r="Q51" i="3"/>
  <c r="AI48" i="6"/>
  <c r="AF48" i="6"/>
  <c r="T48" i="6"/>
  <c r="U48" i="6" s="1"/>
  <c r="Z48" i="6" s="1"/>
  <c r="V48" i="6"/>
  <c r="X48" i="6"/>
  <c r="G49" i="6" s="1"/>
  <c r="AH48" i="6"/>
  <c r="I51" i="4" l="1"/>
  <c r="M51" i="4"/>
  <c r="J51" i="4"/>
  <c r="N51" i="4" s="1"/>
  <c r="AD51" i="5"/>
  <c r="AE51" i="5" s="1"/>
  <c r="AG51" i="5"/>
  <c r="AI51" i="5" s="1"/>
  <c r="AF51" i="5"/>
  <c r="T51" i="5"/>
  <c r="X51" i="5"/>
  <c r="G52" i="5" s="1"/>
  <c r="R51" i="3"/>
  <c r="AD48" i="6"/>
  <c r="AE48" i="6" s="1"/>
  <c r="H49" i="6"/>
  <c r="K49" i="6"/>
  <c r="Y48" i="6"/>
  <c r="P51" i="4" l="1"/>
  <c r="O51" i="4"/>
  <c r="H52" i="5"/>
  <c r="K52" i="5"/>
  <c r="V52" i="5"/>
  <c r="Y52" i="5"/>
  <c r="AH52" i="5"/>
  <c r="U52" i="5"/>
  <c r="L51" i="4"/>
  <c r="W51" i="3"/>
  <c r="S51" i="3"/>
  <c r="T51" i="3"/>
  <c r="I49" i="6"/>
  <c r="J49" i="6"/>
  <c r="N49" i="6" s="1"/>
  <c r="M49" i="6"/>
  <c r="M52" i="5" l="1"/>
  <c r="J52" i="5"/>
  <c r="N52" i="5" s="1"/>
  <c r="I52" i="5"/>
  <c r="L52" i="5" s="1"/>
  <c r="Q51" i="4"/>
  <c r="V51" i="3"/>
  <c r="AH51" i="3"/>
  <c r="U51" i="3"/>
  <c r="Z51" i="3" s="1"/>
  <c r="AG51" i="3"/>
  <c r="AF51" i="3"/>
  <c r="AD51" i="3"/>
  <c r="AE51" i="3" s="1"/>
  <c r="P49" i="6"/>
  <c r="O49" i="6"/>
  <c r="L49" i="6"/>
  <c r="AI51" i="3"/>
  <c r="Y51" i="3" s="1"/>
  <c r="X51" i="3"/>
  <c r="G52" i="3" s="1"/>
  <c r="P52" i="5" l="1"/>
  <c r="Q52" i="5" s="1"/>
  <c r="O52" i="5"/>
  <c r="R51" i="4"/>
  <c r="W51" i="4" s="1"/>
  <c r="Z51" i="4" s="1"/>
  <c r="AD51" i="4" s="1"/>
  <c r="S51" i="4"/>
  <c r="K52" i="3"/>
  <c r="H52" i="3"/>
  <c r="Q49" i="6"/>
  <c r="R52" i="5" l="1"/>
  <c r="AE51" i="4"/>
  <c r="T51" i="4"/>
  <c r="AG51" i="4"/>
  <c r="AD52" i="5"/>
  <c r="AE52" i="5"/>
  <c r="I52" i="3"/>
  <c r="J52" i="3"/>
  <c r="N52" i="3" s="1"/>
  <c r="M52" i="3"/>
  <c r="R49" i="6"/>
  <c r="W52" i="5" l="1"/>
  <c r="Z52" i="5" s="1"/>
  <c r="S52" i="5"/>
  <c r="X51" i="4"/>
  <c r="G52" i="4" s="1"/>
  <c r="AF51" i="4"/>
  <c r="AI51" i="4"/>
  <c r="O52" i="3"/>
  <c r="P52" i="3"/>
  <c r="Q52" i="3" s="1"/>
  <c r="L52" i="3"/>
  <c r="W49" i="6"/>
  <c r="S49" i="6"/>
  <c r="T52" i="5" l="1"/>
  <c r="AG52" i="5"/>
  <c r="X52" i="5"/>
  <c r="G53" i="5" s="1"/>
  <c r="AF52" i="5"/>
  <c r="AI52" i="5"/>
  <c r="Y52" i="4"/>
  <c r="K52" i="4"/>
  <c r="AH52" i="4"/>
  <c r="V52" i="4"/>
  <c r="U52" i="4"/>
  <c r="H52" i="4"/>
  <c r="R52" i="3"/>
  <c r="AG49" i="6"/>
  <c r="AF49" i="6" s="1"/>
  <c r="T49" i="6"/>
  <c r="U49" i="6"/>
  <c r="Z49" i="6" s="1"/>
  <c r="V49" i="6"/>
  <c r="AH49" i="6"/>
  <c r="AH53" i="5" l="1"/>
  <c r="Y53" i="5"/>
  <c r="V53" i="5"/>
  <c r="U53" i="5"/>
  <c r="K53" i="5"/>
  <c r="H53" i="5"/>
  <c r="M52" i="4"/>
  <c r="J52" i="4"/>
  <c r="N52" i="4" s="1"/>
  <c r="I52" i="4"/>
  <c r="AD49" i="6"/>
  <c r="AE49" i="6" s="1"/>
  <c r="W52" i="3"/>
  <c r="S52" i="3"/>
  <c r="AI49" i="6"/>
  <c r="Y49" i="6" s="1"/>
  <c r="X49" i="6"/>
  <c r="G50" i="6" s="1"/>
  <c r="M53" i="5" l="1"/>
  <c r="J53" i="5"/>
  <c r="N53" i="5" s="1"/>
  <c r="I53" i="5"/>
  <c r="L53" i="5" s="1"/>
  <c r="P52" i="4"/>
  <c r="O52" i="4"/>
  <c r="L52" i="4"/>
  <c r="AG52" i="3"/>
  <c r="AF52" i="3" s="1"/>
  <c r="T52" i="3"/>
  <c r="AH52" i="3"/>
  <c r="U52" i="3"/>
  <c r="Z52" i="3" s="1"/>
  <c r="V52" i="3"/>
  <c r="H50" i="6"/>
  <c r="K50" i="6"/>
  <c r="P53" i="5" l="1"/>
  <c r="O53" i="5"/>
  <c r="Q52" i="4"/>
  <c r="AD52" i="3"/>
  <c r="AE52" i="3" s="1"/>
  <c r="I50" i="6"/>
  <c r="J50" i="6"/>
  <c r="N50" i="6" s="1"/>
  <c r="M50" i="6"/>
  <c r="AI52" i="3"/>
  <c r="Y52" i="3" s="1"/>
  <c r="X52" i="3"/>
  <c r="G53" i="3" s="1"/>
  <c r="R52" i="4" l="1"/>
  <c r="W52" i="4" s="1"/>
  <c r="S52" i="4"/>
  <c r="Q53" i="5"/>
  <c r="P50" i="6"/>
  <c r="Q50" i="6" s="1"/>
  <c r="O50" i="6"/>
  <c r="K53" i="3"/>
  <c r="H53" i="3"/>
  <c r="L50" i="6"/>
  <c r="Z52" i="4" l="1"/>
  <c r="AD52" i="4" s="1"/>
  <c r="T52" i="4"/>
  <c r="AG52" i="4"/>
  <c r="R53" i="5"/>
  <c r="R50" i="6"/>
  <c r="AD53" i="5"/>
  <c r="AE53" i="5" s="1"/>
  <c r="I53" i="3"/>
  <c r="J53" i="3"/>
  <c r="N53" i="3" s="1"/>
  <c r="M53" i="3"/>
  <c r="AE52" i="4" l="1"/>
  <c r="AF52" i="4"/>
  <c r="X52" i="4"/>
  <c r="G53" i="4" s="1"/>
  <c r="AI52" i="4"/>
  <c r="W53" i="5"/>
  <c r="Z53" i="5" s="1"/>
  <c r="S53" i="5"/>
  <c r="P53" i="3"/>
  <c r="O53" i="3"/>
  <c r="L53" i="3"/>
  <c r="W50" i="6"/>
  <c r="S50" i="6"/>
  <c r="H53" i="4" l="1"/>
  <c r="K53" i="4"/>
  <c r="U53" i="4"/>
  <c r="V53" i="4"/>
  <c r="Y53" i="4"/>
  <c r="AH53" i="4"/>
  <c r="AG53" i="5"/>
  <c r="T53" i="5"/>
  <c r="AG50" i="6"/>
  <c r="X50" i="6" s="1"/>
  <c r="G51" i="6" s="1"/>
  <c r="T50" i="6"/>
  <c r="U50" i="6"/>
  <c r="Z50" i="6" s="1"/>
  <c r="V50" i="6"/>
  <c r="AH50" i="6"/>
  <c r="Q53" i="3"/>
  <c r="M53" i="4" l="1"/>
  <c r="J53" i="4"/>
  <c r="N53" i="4" s="1"/>
  <c r="I53" i="4"/>
  <c r="L53" i="4" s="1"/>
  <c r="AI53" i="5"/>
  <c r="AF53" i="5"/>
  <c r="X53" i="5"/>
  <c r="G54" i="5" s="1"/>
  <c r="AD50" i="6"/>
  <c r="AE50" i="6" s="1"/>
  <c r="K51" i="6"/>
  <c r="H51" i="6"/>
  <c r="R53" i="3"/>
  <c r="AI50" i="6"/>
  <c r="AF50" i="6"/>
  <c r="Y50" i="6" s="1"/>
  <c r="P53" i="4" l="1"/>
  <c r="O53" i="4"/>
  <c r="Y54" i="5"/>
  <c r="AH54" i="5"/>
  <c r="V54" i="5"/>
  <c r="U54" i="5"/>
  <c r="K54" i="5"/>
  <c r="H54" i="5"/>
  <c r="I51" i="6"/>
  <c r="L51" i="6" s="1"/>
  <c r="J51" i="6"/>
  <c r="N51" i="6" s="1"/>
  <c r="M51" i="6"/>
  <c r="W53" i="3"/>
  <c r="S53" i="3"/>
  <c r="M54" i="5" l="1"/>
  <c r="J54" i="5"/>
  <c r="N54" i="5" s="1"/>
  <c r="I54" i="5"/>
  <c r="L54" i="5" s="1"/>
  <c r="Q53" i="4"/>
  <c r="P51" i="6"/>
  <c r="O51" i="6"/>
  <c r="T53" i="3"/>
  <c r="AG53" i="3"/>
  <c r="U53" i="3"/>
  <c r="Z53" i="3" s="1"/>
  <c r="AH53" i="3"/>
  <c r="V53" i="3"/>
  <c r="P54" i="5" l="1"/>
  <c r="O54" i="5"/>
  <c r="R53" i="4"/>
  <c r="W53" i="4" s="1"/>
  <c r="Z53" i="4" s="1"/>
  <c r="S53" i="4"/>
  <c r="AE53" i="3"/>
  <c r="AD53" i="3"/>
  <c r="Q51" i="6"/>
  <c r="AI53" i="3"/>
  <c r="X53" i="3"/>
  <c r="G54" i="3" s="1"/>
  <c r="AF53" i="3"/>
  <c r="AD53" i="4" l="1"/>
  <c r="AE53" i="4" s="1"/>
  <c r="X53" i="4"/>
  <c r="G54" i="4" s="1"/>
  <c r="AI53" i="4"/>
  <c r="AF53" i="4"/>
  <c r="T53" i="4"/>
  <c r="AG53" i="4"/>
  <c r="Q54" i="5"/>
  <c r="R51" i="6"/>
  <c r="H54" i="3"/>
  <c r="K54" i="3"/>
  <c r="Y53" i="3"/>
  <c r="AH54" i="4" l="1"/>
  <c r="Y54" i="4"/>
  <c r="K54" i="4"/>
  <c r="V54" i="4"/>
  <c r="U54" i="4"/>
  <c r="H54" i="4"/>
  <c r="R54" i="5"/>
  <c r="J54" i="3"/>
  <c r="N54" i="3" s="1"/>
  <c r="M54" i="3"/>
  <c r="I54" i="3"/>
  <c r="L54" i="3" s="1"/>
  <c r="W51" i="6"/>
  <c r="S51" i="6"/>
  <c r="I54" i="4" l="1"/>
  <c r="M54" i="4"/>
  <c r="J54" i="4"/>
  <c r="N54" i="4" s="1"/>
  <c r="W54" i="5"/>
  <c r="Z54" i="5" s="1"/>
  <c r="AD54" i="5" s="1"/>
  <c r="AE54" i="5" s="1"/>
  <c r="S54" i="5"/>
  <c r="P54" i="3"/>
  <c r="O54" i="3"/>
  <c r="AG51" i="6"/>
  <c r="T51" i="6"/>
  <c r="AH51" i="6"/>
  <c r="U51" i="6"/>
  <c r="Z51" i="6" s="1"/>
  <c r="V51" i="6"/>
  <c r="P54" i="4" l="1"/>
  <c r="Q54" i="4" s="1"/>
  <c r="O54" i="4"/>
  <c r="AG54" i="5"/>
  <c r="AI54" i="5" s="1"/>
  <c r="AF54" i="5"/>
  <c r="T54" i="5"/>
  <c r="X54" i="5"/>
  <c r="G55" i="5" s="1"/>
  <c r="L54" i="4"/>
  <c r="AI51" i="6"/>
  <c r="AF51" i="6"/>
  <c r="Y51" i="6" s="1"/>
  <c r="X51" i="6"/>
  <c r="G52" i="6" s="1"/>
  <c r="AD51" i="6"/>
  <c r="AE51" i="6"/>
  <c r="Q54" i="3"/>
  <c r="R54" i="4" l="1"/>
  <c r="H55" i="5"/>
  <c r="K55" i="5"/>
  <c r="U55" i="5"/>
  <c r="V55" i="5"/>
  <c r="Y55" i="5"/>
  <c r="AH55" i="5"/>
  <c r="K52" i="6"/>
  <c r="H52" i="6"/>
  <c r="R54" i="3"/>
  <c r="M55" i="5" l="1"/>
  <c r="J55" i="5"/>
  <c r="N55" i="5" s="1"/>
  <c r="I55" i="5"/>
  <c r="L55" i="5" s="1"/>
  <c r="W54" i="4"/>
  <c r="S54" i="4"/>
  <c r="I52" i="6"/>
  <c r="L52" i="6" s="1"/>
  <c r="M52" i="6"/>
  <c r="O52" i="6" s="1"/>
  <c r="J52" i="6"/>
  <c r="N52" i="6" s="1"/>
  <c r="W54" i="3"/>
  <c r="S54" i="3"/>
  <c r="P52" i="6"/>
  <c r="P55" i="5" l="1"/>
  <c r="O55" i="5"/>
  <c r="Z54" i="4"/>
  <c r="AG54" i="4"/>
  <c r="T54" i="4"/>
  <c r="U54" i="3"/>
  <c r="Z54" i="3" s="1"/>
  <c r="AH54" i="3"/>
  <c r="V54" i="3"/>
  <c r="T54" i="3"/>
  <c r="AG54" i="3"/>
  <c r="AD54" i="3"/>
  <c r="AE54" i="3" s="1"/>
  <c r="Q52" i="6"/>
  <c r="X54" i="3"/>
  <c r="G55" i="3" s="1"/>
  <c r="AF54" i="3"/>
  <c r="AI54" i="3"/>
  <c r="AD54" i="4" l="1"/>
  <c r="AE54" i="4" s="1"/>
  <c r="Q55" i="5"/>
  <c r="AF54" i="4"/>
  <c r="AI54" i="4"/>
  <c r="X54" i="4"/>
  <c r="G55" i="4" s="1"/>
  <c r="R52" i="6"/>
  <c r="W52" i="6" s="1"/>
  <c r="S52" i="6"/>
  <c r="K55" i="3"/>
  <c r="H55" i="3"/>
  <c r="Y54" i="3"/>
  <c r="R55" i="5" l="1"/>
  <c r="V55" i="4"/>
  <c r="U55" i="4"/>
  <c r="Y55" i="4"/>
  <c r="AH55" i="4"/>
  <c r="H55" i="4"/>
  <c r="K55" i="4"/>
  <c r="U52" i="6"/>
  <c r="Z52" i="6" s="1"/>
  <c r="V52" i="6"/>
  <c r="AH52" i="6"/>
  <c r="T52" i="6"/>
  <c r="AG52" i="6"/>
  <c r="AI52" i="6"/>
  <c r="J55" i="3"/>
  <c r="N55" i="3" s="1"/>
  <c r="M55" i="3"/>
  <c r="I55" i="3"/>
  <c r="M55" i="4" l="1"/>
  <c r="J55" i="4"/>
  <c r="N55" i="4" s="1"/>
  <c r="I55" i="4"/>
  <c r="L55" i="3"/>
  <c r="W55" i="5"/>
  <c r="Z55" i="5" s="1"/>
  <c r="AD55" i="5" s="1"/>
  <c r="AE55" i="5" s="1"/>
  <c r="S55" i="5"/>
  <c r="AD52" i="6"/>
  <c r="AE52" i="6"/>
  <c r="P55" i="3"/>
  <c r="O55" i="3"/>
  <c r="X52" i="6"/>
  <c r="G53" i="6" s="1"/>
  <c r="AF52" i="6"/>
  <c r="Y52" i="6" s="1"/>
  <c r="P55" i="4" l="1"/>
  <c r="Q55" i="4" s="1"/>
  <c r="O55" i="4"/>
  <c r="T55" i="5"/>
  <c r="AG55" i="5"/>
  <c r="AI55" i="5"/>
  <c r="L55" i="4"/>
  <c r="H53" i="6"/>
  <c r="K53" i="6"/>
  <c r="Q55" i="3"/>
  <c r="S55" i="4" l="1"/>
  <c r="R55" i="4"/>
  <c r="W55" i="4" s="1"/>
  <c r="Z55" i="4" s="1"/>
  <c r="AD55" i="4" s="1"/>
  <c r="X55" i="5"/>
  <c r="G56" i="5" s="1"/>
  <c r="AF55" i="5"/>
  <c r="I53" i="6"/>
  <c r="J53" i="6"/>
  <c r="N53" i="6" s="1"/>
  <c r="M53" i="6"/>
  <c r="R55" i="3"/>
  <c r="X55" i="4" l="1"/>
  <c r="G56" i="4" s="1"/>
  <c r="T55" i="4"/>
  <c r="AG55" i="4"/>
  <c r="AE55" i="4"/>
  <c r="H56" i="5"/>
  <c r="K56" i="5"/>
  <c r="U56" i="5"/>
  <c r="V56" i="5"/>
  <c r="Y56" i="5"/>
  <c r="AH56" i="5"/>
  <c r="P53" i="6"/>
  <c r="O53" i="6"/>
  <c r="L53" i="6"/>
  <c r="W55" i="3"/>
  <c r="S55" i="3"/>
  <c r="AH56" i="4" l="1"/>
  <c r="Y56" i="4"/>
  <c r="V56" i="4"/>
  <c r="U56" i="4"/>
  <c r="K56" i="4"/>
  <c r="H56" i="4"/>
  <c r="I56" i="5"/>
  <c r="J56" i="5"/>
  <c r="N56" i="5" s="1"/>
  <c r="M56" i="5"/>
  <c r="AI55" i="4"/>
  <c r="AF55" i="4"/>
  <c r="AG55" i="3"/>
  <c r="T55" i="3"/>
  <c r="U55" i="3"/>
  <c r="Z55" i="3" s="1"/>
  <c r="V55" i="3"/>
  <c r="AH55" i="3"/>
  <c r="Q53" i="6"/>
  <c r="M56" i="4" l="1"/>
  <c r="J56" i="4"/>
  <c r="N56" i="4" s="1"/>
  <c r="I56" i="4"/>
  <c r="L56" i="4" s="1"/>
  <c r="P56" i="5"/>
  <c r="Q56" i="5" s="1"/>
  <c r="O56" i="5"/>
  <c r="L56" i="5"/>
  <c r="AI55" i="3"/>
  <c r="AF55" i="3"/>
  <c r="Y55" i="3" s="1"/>
  <c r="X55" i="3"/>
  <c r="G56" i="3" s="1"/>
  <c r="AD55" i="3"/>
  <c r="AE55" i="3" s="1"/>
  <c r="R53" i="6"/>
  <c r="P56" i="4" l="1"/>
  <c r="O56" i="4"/>
  <c r="R56" i="5"/>
  <c r="H56" i="3"/>
  <c r="K56" i="3"/>
  <c r="J56" i="3"/>
  <c r="N56" i="3" s="1"/>
  <c r="I56" i="3"/>
  <c r="L56" i="3" s="1"/>
  <c r="M56" i="3"/>
  <c r="W53" i="6"/>
  <c r="S53" i="6"/>
  <c r="Q56" i="4" l="1"/>
  <c r="W56" i="5"/>
  <c r="S56" i="5"/>
  <c r="O56" i="3"/>
  <c r="P56" i="3"/>
  <c r="Q56" i="3" s="1"/>
  <c r="AG53" i="6"/>
  <c r="AI53" i="6" s="1"/>
  <c r="Y53" i="6" s="1"/>
  <c r="AF53" i="6"/>
  <c r="T53" i="6"/>
  <c r="U53" i="6"/>
  <c r="Z53" i="6" s="1"/>
  <c r="V53" i="6"/>
  <c r="X53" i="6"/>
  <c r="G54" i="6" s="1"/>
  <c r="AH53" i="6"/>
  <c r="R56" i="4" l="1"/>
  <c r="W56" i="4" s="1"/>
  <c r="Z56" i="4" s="1"/>
  <c r="AD56" i="4" s="1"/>
  <c r="S56" i="4"/>
  <c r="Z56" i="5"/>
  <c r="AD56" i="5" s="1"/>
  <c r="T56" i="5"/>
  <c r="AG56" i="5"/>
  <c r="X56" i="5"/>
  <c r="G57" i="5" s="1"/>
  <c r="R56" i="3"/>
  <c r="AD53" i="6"/>
  <c r="AE53" i="6" s="1"/>
  <c r="K54" i="6"/>
  <c r="H54" i="6"/>
  <c r="AE56" i="4" l="1"/>
  <c r="AG56" i="4"/>
  <c r="T56" i="4"/>
  <c r="AE56" i="5"/>
  <c r="H57" i="5"/>
  <c r="K57" i="5"/>
  <c r="AH57" i="5"/>
  <c r="Y57" i="5"/>
  <c r="V57" i="5"/>
  <c r="U57" i="5"/>
  <c r="AF56" i="5"/>
  <c r="AI56" i="5"/>
  <c r="I54" i="6"/>
  <c r="J54" i="6"/>
  <c r="N54" i="6" s="1"/>
  <c r="M54" i="6"/>
  <c r="W56" i="3"/>
  <c r="S56" i="3"/>
  <c r="M57" i="5" l="1"/>
  <c r="J57" i="5"/>
  <c r="N57" i="5" s="1"/>
  <c r="I57" i="5"/>
  <c r="L57" i="5" s="1"/>
  <c r="X56" i="4"/>
  <c r="G57" i="4" s="1"/>
  <c r="AF56" i="4"/>
  <c r="AI56" i="4"/>
  <c r="P54" i="6"/>
  <c r="O54" i="6"/>
  <c r="AG56" i="3"/>
  <c r="T56" i="3"/>
  <c r="AI56" i="3"/>
  <c r="V56" i="3"/>
  <c r="U56" i="3"/>
  <c r="Z56" i="3" s="1"/>
  <c r="AH56" i="3"/>
  <c r="L54" i="6"/>
  <c r="O57" i="5" l="1"/>
  <c r="P57" i="5"/>
  <c r="Q57" i="5" s="1"/>
  <c r="AH57" i="4"/>
  <c r="Y57" i="4"/>
  <c r="V57" i="4"/>
  <c r="U57" i="4"/>
  <c r="K57" i="4"/>
  <c r="H57" i="4"/>
  <c r="Y56" i="3"/>
  <c r="AF56" i="3"/>
  <c r="X56" i="3"/>
  <c r="G57" i="3" s="1"/>
  <c r="AD56" i="3"/>
  <c r="AE56" i="3" s="1"/>
  <c r="Q54" i="6"/>
  <c r="R57" i="5" l="1"/>
  <c r="J57" i="4"/>
  <c r="N57" i="4" s="1"/>
  <c r="I57" i="4"/>
  <c r="L57" i="4" s="1"/>
  <c r="M57" i="4"/>
  <c r="K57" i="3"/>
  <c r="H57" i="3"/>
  <c r="I57" i="3"/>
  <c r="M57" i="3"/>
  <c r="J57" i="3"/>
  <c r="N57" i="3" s="1"/>
  <c r="R54" i="6"/>
  <c r="P57" i="4" l="1"/>
  <c r="Q57" i="4" s="1"/>
  <c r="O57" i="4"/>
  <c r="W57" i="5"/>
  <c r="Z57" i="5" s="1"/>
  <c r="AD57" i="5" s="1"/>
  <c r="S57" i="5"/>
  <c r="W54" i="6"/>
  <c r="S54" i="6"/>
  <c r="O57" i="3"/>
  <c r="P57" i="3"/>
  <c r="Q57" i="3" s="1"/>
  <c r="AH54" i="6"/>
  <c r="U54" i="6"/>
  <c r="Z54" i="6" s="1"/>
  <c r="L57" i="3"/>
  <c r="R57" i="4" l="1"/>
  <c r="AE57" i="5"/>
  <c r="AG57" i="5"/>
  <c r="T57" i="5"/>
  <c r="AI57" i="5"/>
  <c r="AF57" i="5"/>
  <c r="X57" i="5"/>
  <c r="G58" i="5" s="1"/>
  <c r="V54" i="6"/>
  <c r="T54" i="6"/>
  <c r="AG54" i="6"/>
  <c r="AI54" i="6"/>
  <c r="R57" i="3"/>
  <c r="AD54" i="6"/>
  <c r="AE54" i="6" s="1"/>
  <c r="Y58" i="5" l="1"/>
  <c r="U58" i="5"/>
  <c r="K58" i="5"/>
  <c r="H58" i="5"/>
  <c r="AH58" i="5"/>
  <c r="V58" i="5"/>
  <c r="X54" i="6"/>
  <c r="G55" i="6" s="1"/>
  <c r="AF54" i="6"/>
  <c r="Y54" i="6" s="1"/>
  <c r="W57" i="4"/>
  <c r="Z57" i="4" s="1"/>
  <c r="AD57" i="4" s="1"/>
  <c r="S57" i="4"/>
  <c r="W57" i="3"/>
  <c r="S57" i="3"/>
  <c r="M58" i="5" l="1"/>
  <c r="I58" i="5"/>
  <c r="J58" i="5"/>
  <c r="N58" i="5" s="1"/>
  <c r="H55" i="6"/>
  <c r="K55" i="6"/>
  <c r="AE57" i="4"/>
  <c r="T57" i="4"/>
  <c r="AG57" i="4"/>
  <c r="AI57" i="4"/>
  <c r="AF57" i="4"/>
  <c r="X57" i="4"/>
  <c r="G58" i="4" s="1"/>
  <c r="AG57" i="3"/>
  <c r="AI57" i="3"/>
  <c r="T57" i="3"/>
  <c r="U57" i="3"/>
  <c r="Z57" i="3" s="1"/>
  <c r="AH57" i="3"/>
  <c r="V57" i="3"/>
  <c r="P58" i="5" l="1"/>
  <c r="O58" i="5"/>
  <c r="M55" i="6"/>
  <c r="J55" i="6"/>
  <c r="N55" i="6" s="1"/>
  <c r="I55" i="6"/>
  <c r="L55" i="6" s="1"/>
  <c r="V58" i="4"/>
  <c r="H58" i="4"/>
  <c r="U58" i="4"/>
  <c r="AH58" i="4"/>
  <c r="K58" i="4"/>
  <c r="Y58" i="4"/>
  <c r="L58" i="5"/>
  <c r="AF57" i="3"/>
  <c r="Y57" i="3" s="1"/>
  <c r="X57" i="3"/>
  <c r="G58" i="3" s="1"/>
  <c r="AD57" i="3"/>
  <c r="AE57" i="3" s="1"/>
  <c r="H58" i="3"/>
  <c r="K58" i="3"/>
  <c r="P55" i="6" l="1"/>
  <c r="O55" i="6"/>
  <c r="M58" i="4"/>
  <c r="I58" i="4"/>
  <c r="J58" i="4"/>
  <c r="N58" i="4" s="1"/>
  <c r="Q58" i="5"/>
  <c r="J58" i="3"/>
  <c r="N58" i="3" s="1"/>
  <c r="M58" i="3"/>
  <c r="I58" i="3"/>
  <c r="L58" i="3" s="1"/>
  <c r="P58" i="4" l="1"/>
  <c r="O58" i="4"/>
  <c r="S58" i="5"/>
  <c r="R58" i="5"/>
  <c r="Q55" i="6"/>
  <c r="R55" i="6" s="1"/>
  <c r="L58" i="4"/>
  <c r="O58" i="3"/>
  <c r="P58" i="3"/>
  <c r="W55" i="6"/>
  <c r="S55" i="6"/>
  <c r="AI58" i="5" l="1"/>
  <c r="AG58" i="5"/>
  <c r="X58" i="5" s="1"/>
  <c r="G59" i="5" s="1"/>
  <c r="AF58" i="5"/>
  <c r="T58" i="5"/>
  <c r="W58" i="5"/>
  <c r="Q58" i="4"/>
  <c r="AG55" i="6"/>
  <c r="T55" i="6"/>
  <c r="AH55" i="6"/>
  <c r="U55" i="6"/>
  <c r="Z55" i="6" s="1"/>
  <c r="V55" i="6"/>
  <c r="Q58" i="3"/>
  <c r="AH59" i="5" l="1"/>
  <c r="Y59" i="5"/>
  <c r="V59" i="5"/>
  <c r="U59" i="5"/>
  <c r="K59" i="5"/>
  <c r="H59" i="5"/>
  <c r="Z58" i="5"/>
  <c r="R58" i="4"/>
  <c r="S58" i="4" s="1"/>
  <c r="AI55" i="6"/>
  <c r="AF55" i="6"/>
  <c r="Y55" i="6" s="1"/>
  <c r="X55" i="6"/>
  <c r="G56" i="6" s="1"/>
  <c r="K56" i="6"/>
  <c r="H56" i="6"/>
  <c r="AD55" i="6"/>
  <c r="AE55" i="6"/>
  <c r="R58" i="3"/>
  <c r="M59" i="5" l="1"/>
  <c r="I59" i="5"/>
  <c r="L59" i="5" s="1"/>
  <c r="J59" i="5"/>
  <c r="N59" i="5" s="1"/>
  <c r="AD58" i="5"/>
  <c r="AE58" i="5" s="1"/>
  <c r="X58" i="4"/>
  <c r="G59" i="4" s="1"/>
  <c r="AG58" i="4"/>
  <c r="T58" i="4"/>
  <c r="W58" i="4"/>
  <c r="I56" i="6"/>
  <c r="J56" i="6"/>
  <c r="N56" i="6" s="1"/>
  <c r="M56" i="6"/>
  <c r="W58" i="3"/>
  <c r="S58" i="3"/>
  <c r="P59" i="5" l="1"/>
  <c r="Q59" i="5" s="1"/>
  <c r="O59" i="5"/>
  <c r="H59" i="4"/>
  <c r="K59" i="4"/>
  <c r="U59" i="4"/>
  <c r="V59" i="4"/>
  <c r="AH59" i="4"/>
  <c r="Y59" i="4"/>
  <c r="Z58" i="4"/>
  <c r="AD58" i="4" s="1"/>
  <c r="L56" i="6"/>
  <c r="AF58" i="4"/>
  <c r="AI58" i="4"/>
  <c r="P56" i="6"/>
  <c r="O56" i="6"/>
  <c r="AG58" i="3"/>
  <c r="AF58" i="3"/>
  <c r="T58" i="3"/>
  <c r="U58" i="3"/>
  <c r="Z58" i="3" s="1"/>
  <c r="AH58" i="3"/>
  <c r="V58" i="3"/>
  <c r="D10" i="5" l="1"/>
  <c r="E9" i="7" s="1"/>
  <c r="R59" i="5"/>
  <c r="S59" i="5" s="1"/>
  <c r="M59" i="4"/>
  <c r="J59" i="4"/>
  <c r="N59" i="4" s="1"/>
  <c r="I59" i="4"/>
  <c r="AE58" i="4"/>
  <c r="AD58" i="3"/>
  <c r="AE58" i="3" s="1"/>
  <c r="Q56" i="6"/>
  <c r="AI58" i="3"/>
  <c r="Y58" i="3" s="1"/>
  <c r="X58" i="3"/>
  <c r="G59" i="3" s="1"/>
  <c r="AG59" i="5" l="1"/>
  <c r="T59" i="5"/>
  <c r="D23" i="5" s="1"/>
  <c r="E22" i="7" s="1"/>
  <c r="W59" i="5"/>
  <c r="D11" i="5"/>
  <c r="E10" i="7" s="1"/>
  <c r="O59" i="4"/>
  <c r="P59" i="4"/>
  <c r="Q59" i="4" s="1"/>
  <c r="L59" i="4"/>
  <c r="R56" i="6"/>
  <c r="H59" i="3"/>
  <c r="K59" i="3"/>
  <c r="D12" i="5" l="1"/>
  <c r="E11" i="7" s="1"/>
  <c r="Z59" i="5"/>
  <c r="D10" i="4"/>
  <c r="D9" i="7" s="1"/>
  <c r="R59" i="4"/>
  <c r="S59" i="4"/>
  <c r="D22" i="5"/>
  <c r="E21" i="7" s="1"/>
  <c r="X59" i="5"/>
  <c r="AI59" i="5"/>
  <c r="D21" i="5" s="1"/>
  <c r="E20" i="7" s="1"/>
  <c r="AF59" i="5"/>
  <c r="D13" i="5" s="1"/>
  <c r="I59" i="3"/>
  <c r="J59" i="3"/>
  <c r="N59" i="3" s="1"/>
  <c r="M59" i="3"/>
  <c r="W56" i="6"/>
  <c r="S56" i="6"/>
  <c r="AD59" i="5" l="1"/>
  <c r="D7" i="5"/>
  <c r="AE59" i="5"/>
  <c r="D9" i="5" s="1"/>
  <c r="E8" i="7" s="1"/>
  <c r="W59" i="4"/>
  <c r="D11" i="4"/>
  <c r="D10" i="7" s="1"/>
  <c r="X59" i="4"/>
  <c r="AF59" i="4"/>
  <c r="D13" i="4" s="1"/>
  <c r="AI59" i="4"/>
  <c r="D21" i="4" s="1"/>
  <c r="D20" i="7" s="1"/>
  <c r="AG59" i="4"/>
  <c r="D22" i="4" s="1"/>
  <c r="D21" i="7" s="1"/>
  <c r="T59" i="4"/>
  <c r="D23" i="4" s="1"/>
  <c r="D22" i="7" s="1"/>
  <c r="D14" i="5"/>
  <c r="E13" i="7" s="1"/>
  <c r="E12" i="7"/>
  <c r="D19" i="5"/>
  <c r="E18" i="7" s="1"/>
  <c r="L59" i="3"/>
  <c r="P59" i="3"/>
  <c r="O59" i="3"/>
  <c r="AG56" i="6"/>
  <c r="T56" i="6"/>
  <c r="U56" i="6"/>
  <c r="Z56" i="6" s="1"/>
  <c r="AH56" i="6"/>
  <c r="V56" i="6"/>
  <c r="E6" i="7" l="1"/>
  <c r="D8" i="5"/>
  <c r="E7" i="7" s="1"/>
  <c r="D20" i="5"/>
  <c r="E19" i="7" s="1"/>
  <c r="Z59" i="4"/>
  <c r="D12" i="4"/>
  <c r="D11" i="7" s="1"/>
  <c r="D12" i="7"/>
  <c r="D19" i="4"/>
  <c r="D18" i="7" s="1"/>
  <c r="D14" i="4"/>
  <c r="D13" i="7" s="1"/>
  <c r="AD56" i="6"/>
  <c r="AE56" i="6" s="1"/>
  <c r="Q59" i="3"/>
  <c r="AF56" i="6"/>
  <c r="Y56" i="6" s="1"/>
  <c r="X56" i="6"/>
  <c r="G57" i="6" s="1"/>
  <c r="AI56" i="6"/>
  <c r="AD59" i="4" l="1"/>
  <c r="AE59" i="4" s="1"/>
  <c r="D9" i="4" s="1"/>
  <c r="D8" i="7" s="1"/>
  <c r="D7" i="4"/>
  <c r="R59" i="3"/>
  <c r="S59" i="3" s="1"/>
  <c r="D10" i="3"/>
  <c r="C9" i="7" s="1"/>
  <c r="H57" i="6"/>
  <c r="K57" i="6"/>
  <c r="D20" i="4" l="1"/>
  <c r="D19" i="7" s="1"/>
  <c r="D8" i="4"/>
  <c r="D7" i="7" s="1"/>
  <c r="D6" i="7"/>
  <c r="W59" i="3"/>
  <c r="D12" i="3" s="1"/>
  <c r="C11" i="7" s="1"/>
  <c r="D11" i="3"/>
  <c r="C10" i="7" s="1"/>
  <c r="U59" i="3"/>
  <c r="Z59" i="3" s="1"/>
  <c r="V59" i="3"/>
  <c r="AH59" i="3"/>
  <c r="AG59" i="3"/>
  <c r="AI59" i="3"/>
  <c r="D21" i="3" s="1"/>
  <c r="C20" i="7" s="1"/>
  <c r="T59" i="3"/>
  <c r="D23" i="3" s="1"/>
  <c r="C22" i="7" s="1"/>
  <c r="I57" i="6"/>
  <c r="J57" i="6"/>
  <c r="N57" i="6" s="1"/>
  <c r="M57" i="6"/>
  <c r="D7" i="3" l="1"/>
  <c r="AD59" i="3"/>
  <c r="AE59" i="3" s="1"/>
  <c r="D9" i="3" s="1"/>
  <c r="C8" i="7" s="1"/>
  <c r="P57" i="6"/>
  <c r="O57" i="6"/>
  <c r="L57" i="6"/>
  <c r="D22" i="3"/>
  <c r="C21" i="7" s="1"/>
  <c r="X59" i="3"/>
  <c r="AF59" i="3"/>
  <c r="D20" i="3" l="1"/>
  <c r="C19" i="7" s="1"/>
  <c r="D8" i="3"/>
  <c r="C7" i="7" s="1"/>
  <c r="C6" i="7"/>
  <c r="D13" i="3"/>
  <c r="Y59" i="3"/>
  <c r="Q57" i="6"/>
  <c r="D19" i="3" l="1"/>
  <c r="C18" i="7" s="1"/>
  <c r="D14" i="3"/>
  <c r="C13" i="7" s="1"/>
  <c r="C12" i="7"/>
  <c r="R57" i="6"/>
  <c r="W57" i="6" l="1"/>
  <c r="S57" i="6"/>
  <c r="AG57" i="6" l="1"/>
  <c r="T57" i="6"/>
  <c r="U57" i="6"/>
  <c r="Z57" i="6" s="1"/>
  <c r="V57" i="6"/>
  <c r="AH57" i="6"/>
  <c r="AD57" i="6" l="1"/>
  <c r="AE57" i="6" s="1"/>
  <c r="AF57" i="6"/>
  <c r="X57" i="6"/>
  <c r="G58" i="6" s="1"/>
  <c r="AI57" i="6"/>
  <c r="Y57" i="6" l="1"/>
  <c r="H58" i="6"/>
  <c r="K58" i="6"/>
  <c r="I58" i="6" l="1"/>
  <c r="J58" i="6"/>
  <c r="N58" i="6" s="1"/>
  <c r="M58" i="6"/>
  <c r="P58" i="6" l="1"/>
  <c r="Q58" i="6" s="1"/>
  <c r="O58" i="6"/>
  <c r="L58" i="6"/>
  <c r="R58" i="6" l="1"/>
  <c r="W58" i="6" l="1"/>
  <c r="S58" i="6"/>
  <c r="AG58" i="6" l="1"/>
  <c r="AF58" i="6" s="1"/>
  <c r="T58" i="6"/>
  <c r="AH58" i="6"/>
  <c r="U58" i="6"/>
  <c r="Z58" i="6" s="1"/>
  <c r="V58" i="6"/>
  <c r="AD58" i="6" l="1"/>
  <c r="AE58" i="6" s="1"/>
  <c r="AI58" i="6"/>
  <c r="Y58" i="6" s="1"/>
  <c r="X58" i="6"/>
  <c r="G59" i="6" s="1"/>
  <c r="H59" i="6" l="1"/>
  <c r="K59" i="6"/>
  <c r="I59" i="6" l="1"/>
  <c r="L59" i="6" s="1"/>
  <c r="J59" i="6"/>
  <c r="N59" i="6" s="1"/>
  <c r="M59" i="6"/>
  <c r="P59" i="6" l="1"/>
  <c r="Q59" i="6" s="1"/>
  <c r="O59" i="6"/>
  <c r="D10" i="6" l="1"/>
  <c r="F9" i="7" s="1"/>
  <c r="R59" i="6"/>
  <c r="S59" i="6" s="1"/>
  <c r="AH59" i="6" l="1"/>
  <c r="V59" i="6"/>
  <c r="U59" i="6"/>
  <c r="Z59" i="6" s="1"/>
  <c r="T59" i="6"/>
  <c r="D23" i="6" s="1"/>
  <c r="F22" i="7" s="1"/>
  <c r="AG59" i="6"/>
  <c r="AI59" i="6" s="1"/>
  <c r="D21" i="6" s="1"/>
  <c r="F20" i="7" s="1"/>
  <c r="W59" i="6"/>
  <c r="D12" i="6" s="1"/>
  <c r="F11" i="7" s="1"/>
  <c r="D11" i="6"/>
  <c r="F10" i="7" s="1"/>
  <c r="D7" i="6" l="1"/>
  <c r="AD59" i="6"/>
  <c r="AE59" i="6" s="1"/>
  <c r="D9" i="6" s="1"/>
  <c r="F8" i="7" s="1"/>
  <c r="D22" i="6"/>
  <c r="F21" i="7" s="1"/>
  <c r="AF59" i="6"/>
  <c r="X59" i="6"/>
  <c r="D20" i="6" l="1"/>
  <c r="F19" i="7" s="1"/>
  <c r="D8" i="6"/>
  <c r="F7" i="7" s="1"/>
  <c r="F6" i="7"/>
  <c r="D13" i="6"/>
  <c r="Y59" i="6"/>
  <c r="D19" i="6" l="1"/>
  <c r="F18" i="7" s="1"/>
  <c r="D14" i="6"/>
  <c r="F13" i="7" s="1"/>
  <c r="F12" i="7"/>
</calcChain>
</file>

<file path=xl/sharedStrings.xml><?xml version="1.0" encoding="utf-8"?>
<sst xmlns="http://schemas.openxmlformats.org/spreadsheetml/2006/main" count="364" uniqueCount="156">
  <si>
    <t>Rick Guerin: leveraged equity investing - plain-vanilla margin account version</t>
  </si>
  <si>
    <t>Simplified companion to 22_Rick_Guerin_Margin.xlsx. Three ruin cases: constant rates, changing rates, and changing rates with partial sales. Illustrative, not historical data.</t>
  </si>
  <si>
    <t>Contents (click to jump)</t>
  </si>
  <si>
    <t>The trade</t>
  </si>
  <si>
    <t>How this differs from file 22</t>
  </si>
  <si>
    <t>Case 1 - Calm</t>
  </si>
  <si>
    <t>Case 2A - Ruin with constant margin and financing rates</t>
  </si>
  <si>
    <t>Case 2B - Ruin with changing margin and financing rates</t>
  </si>
  <si>
    <t>Case 2C - Changing rates, sell to fund</t>
  </si>
  <si>
    <t>How the model works (each period)</t>
  </si>
  <si>
    <t>Sheets</t>
  </si>
  <si>
    <t>Colour legend</t>
  </si>
  <si>
    <t>Caveats</t>
  </si>
  <si>
    <t>Position: LONG a portfolio of stocks bought with a margin loan from a broker (1.8x leverage: $100mm of own equity, $80mm borrowed). Thesis: equities rise over the long run, and leverage amplifies the gain.</t>
  </si>
  <si>
    <t>Why it can fail: the broker requires equity of at least the maintenance margin rate (30%) times the current market value of the shares. If prices fall, equity shrinks faster than the requirement and the broker calls for cash. If the investor cannot pay, the shares are sold at the bottom.</t>
  </si>
  <si>
    <t>File 22 values P&amp;L as exposure x absolute change in the driver (+ convexity) on a constant gross notional. This version is the traditional margin-account bookkeeping: the investor owns a fixed number of shares, so P&amp;L = position value at the start of the period x the % change in the driver, and the position value itself moves with the market.</t>
  </si>
  <si>
    <t>For a plain stock the two are the same in a single period (exposure per index point = value / index level), so convexity is zero. Differences arise because here the position value, the loan and the margin requirement all move with the price, whereas file 22 holds gross notional and margin base constant.</t>
  </si>
  <si>
    <t>Mechanics are also simpler: the loan accrues interest, dividends reduce the loan, and cash paid to meet a margin call pays down the loan.</t>
  </si>
  <si>
    <t>Equities compound at about 6.5% a year with small wiggles. Equity in the margin account always exceeds the maintenance requirement, no margin call is ever made, the reserve is untouched and the investor keeps the full gain on the borrowed money.</t>
  </si>
  <si>
    <t>A 1973-74 style bear market halves the stock market within eight quarters, then recovers to the same end point as Case 1. The broker's maintenance margin rate (30%) and the interest rate on the loan (8%) never change. Even so, falling prices alone push equity below the requirement, the margin calls exceed the small cash reserve, and the investor is sold out near the bottom.</t>
  </si>
  <si>
    <t>Lesson: the thesis can fail on price alone. No change in broker behaviour is needed; leverage and a thin reserve are enough.</t>
  </si>
  <si>
    <t>Three acts. Act 1: prices fall (the P&amp;L turns red), the broker raises the margin rate and the loan rate climbs; two margin calls eat into the reserve. Act 2: a protracted rally turns the P&amp;L around and, with a lag, margin and loan rates ease briefly. Act 3: a second, deeper fall pushes the P&amp;L red again just as margin and loan rates rise to new highs; the remaining reserve cannot fund the call and the investor is liquidated. Prices later recover to the same end point as Case 1.</t>
  </si>
  <si>
    <t>Lesson: the cost of leverage is not fixed. Brokers tighten margin and lenders raise rates precisely when prices fall, so the investor gets worse terms at the worst time, and a temporary improvement does not replenish a reserve that has already been used.</t>
  </si>
  <si>
    <t>The same price, margin-rate and loan-rate paths as Case 2B (they are linked to that sheet). When a call is larger than the reserve, the account sells just enough shares to cover the shortfall instead of being frozen out. The liquidation cost is paid only on the shares sold. A smaller position stays invested through the trough and takes part in the recovery to the same end point as the other cases.</t>
  </si>
  <si>
    <t>Lesson: how the broker enforces the call matters. Being forced to sell only what is needed keeps a smaller position invested through the trough, so the investor takes part in the recovery; a full liquidation does not. Selling still crystallises losses and costs, so the outcome is far below the calm case.</t>
  </si>
  <si>
    <t>1. Driver X (blue) and the margin and loan-rate paths (blue) are scenario inputs.</t>
  </si>
  <si>
    <t>2. % change in driver = X now / X last period - 1. Exposure = position value at the start of the period. Price P&amp;L = exposure x % change. Position value at end = exposure x (1 + % change).</t>
  </si>
  <si>
    <t>3. Loan before call = last loan + interest (loan x rate x period length) - dividends (exposure x yield x period length). Equity before call = position value at end - loan before call.</t>
  </si>
  <si>
    <t>4. Required margin = margin rate x position value at end. Margin call = max(0, required margin - equity before call).</t>
  </si>
  <si>
    <t>5. The call is paid from the liquidity reserve and the cash pays down the loan. If the reserve is too small the shortfall triggers default: the position is sold, a liquidation cost is charged, remaining equity is floored at zero and the trade ends. In Case 2C (switch = 1) the account instead sells just enough shares x to restore the maintenance margin: x = shortfall / (margin rate - liquidation cost). The sale proceeds net of the cost, x(1 - cost), pay down the loan, the cost is charged only on the shares sold, and the smaller position is carried forward. If the margin rate does not exceed the liquidation cost, or x would exceed the whole position, it is a full liquidation as before.</t>
  </si>
  <si>
    <t>6. Net worth = equity + remaining reserve. The 'shadow' columns run the same stock and loan without margin calls to show whether the thesis was eventually right.</t>
  </si>
  <si>
    <t>Inputs: assumptions, each a named range. Case1_Calm, Case2A_Ruin_ConstRates, Case2B_Ruin_ChangingRates, Case2C_Changing_SellToFund: identical layout. Comparison: four cases side by side with seven charts. Cell D4 on each case sheet is a switch (named Sell_To_Fund): 0 = a shortfall forces full liquidation (Cases 1, 2A, 2B), 1 = sell only enough shares (Case 2C). Case 2C's price, margin and loan-rate paths are links to Case 2B.</t>
  </si>
  <si>
    <t>Blue text = input. Black = formula. Green = link to another sheet or named input. Yellow fill = key lever (reserve, leverage, maintenance margin).</t>
  </si>
  <si>
    <t>Stylised numbers. No withdrawals, no re-leveraging when prices rise, no tax or commissions. Maintenance margin is applied to the end-of-period market value. A 15% liquidation cost is assumed if the position is force-sold.</t>
  </si>
  <si>
    <t>Inputs and assumptions</t>
  </si>
  <si>
    <t>Blue = input; black = formula. Every input is a named range (column E). Stylised teaching numbers loosely inspired by the 1973-74 bear market, not historical data.</t>
  </si>
  <si>
    <t>Parameter</t>
  </si>
  <si>
    <t>Value</t>
  </si>
  <si>
    <t>Note</t>
  </si>
  <si>
    <t>Range name (used in formulas)</t>
  </si>
  <si>
    <t>Period unit</t>
  </si>
  <si>
    <t>Quarter</t>
  </si>
  <si>
    <t>Each row of the case sheets is one period</t>
  </si>
  <si>
    <t>Period_Unit</t>
  </si>
  <si>
    <t>Periods per year</t>
  </si>
  <si>
    <t>Converts annual rates to a period rate</t>
  </si>
  <si>
    <t>Periods_per_Year</t>
  </si>
  <si>
    <t>Period length (years)</t>
  </si>
  <si>
    <t>Formula</t>
  </si>
  <si>
    <t>Period_Length_Yrs</t>
  </si>
  <si>
    <t>Starting equity ($mm)</t>
  </si>
  <si>
    <t>Own capital put into the margin account</t>
  </si>
  <si>
    <t>Starting_Equity</t>
  </si>
  <si>
    <t>Liquidity reserve ($mm)</t>
  </si>
  <si>
    <t>Cash available to meet margin calls. Key lever.</t>
  </si>
  <si>
    <t>Liquidity_Reserve_0</t>
  </si>
  <si>
    <t>Leverage (position value / equity)</t>
  </si>
  <si>
    <t>As in file 22. Key lever.</t>
  </si>
  <si>
    <t>Gross_Leverage</t>
  </si>
  <si>
    <t>Initial position value ($mm)</t>
  </si>
  <si>
    <t>Formula: market value of the shares bought</t>
  </si>
  <si>
    <t>Initial_Position_Value</t>
  </si>
  <si>
    <t>Initial margin loan ($mm)</t>
  </si>
  <si>
    <t>Formula: borrowed from the broker</t>
  </si>
  <si>
    <t>Initial_Loan</t>
  </si>
  <si>
    <t>Driver level at entry</t>
  </si>
  <si>
    <t>Equity index / portfolio level, rebased to 100</t>
  </si>
  <si>
    <t>Entry_Driver</t>
  </si>
  <si>
    <t>Target driver level (thesis pays)</t>
  </si>
  <si>
    <t>Case 1 and Case 2 paths both end here</t>
  </si>
  <si>
    <t>Target_Driver</t>
  </si>
  <si>
    <t>Dividend yield (p.a.)</t>
  </si>
  <si>
    <t>Dividends received are used to reduce the loan</t>
  </si>
  <si>
    <t>Dividend_Yield_pa</t>
  </si>
  <si>
    <t>Forced-liquidation cost (% of position value)</t>
  </si>
  <si>
    <t>Fire-sale discount and impact if the position is dumped to meet a call it cannot fund (illiquid 1974 market)</t>
  </si>
  <si>
    <t>Liquidation_Slippage</t>
  </si>
  <si>
    <t>Initial margin (maintenance) rate (% of position value)</t>
  </si>
  <si>
    <t>Equity must stay at least this share of the position's market value. Key lever.</t>
  </si>
  <si>
    <t>Initial_Margin_Rate</t>
  </si>
  <si>
    <t>Initial margin required ($mm)</t>
  </si>
  <si>
    <t>Initial_Margin_Req</t>
  </si>
  <si>
    <t>Check: equity covers initial margin?</t>
  </si>
  <si>
    <t>Loan interest rate at entry (p.a.)</t>
  </si>
  <si>
    <t>Paths over time are on the case sheets</t>
  </si>
  <si>
    <t>Entry_Financing_Rate</t>
  </si>
  <si>
    <t>Rick Guerin margin trade (plain vanilla) - Case 1 - Calm / expected path</t>
  </si>
  <si>
    <t>Same structure on every case sheet; only the blue driver, margin-rate and loan-rate paths differ. P&amp;L = position value x % change in the driver. $mm unless stated.</t>
  </si>
  <si>
    <t>Sell shares to fund an unmet call? 1 = yes, 0 = no (full liquidation)</t>
  </si>
  <si>
    <t>Key results</t>
  </si>
  <si>
    <t>Starting capital (equity + reserve)</t>
  </si>
  <si>
    <t>Ending net worth</t>
  </si>
  <si>
    <t>Total return</t>
  </si>
  <si>
    <t>Maximum drawdown of net worth</t>
  </si>
  <si>
    <t>Number of margin calls</t>
  </si>
  <si>
    <t>Total cash posted to margin</t>
  </si>
  <si>
    <t>Lowest liquidity reserve</t>
  </si>
  <si>
    <t>First default period</t>
  </si>
  <si>
    <t>Outcome</t>
  </si>
  <si>
    <t>Peak margin rate</t>
  </si>
  <si>
    <t>Peak loan interest rate</t>
  </si>
  <si>
    <t>Net worth if never forced out (shadow)</t>
  </si>
  <si>
    <t>Shadow return</t>
  </si>
  <si>
    <t>Thesis eventually proven right?</t>
  </si>
  <si>
    <t>Value lost to forced liquidation</t>
  </si>
  <si>
    <t>Partial sales (count)</t>
  </si>
  <si>
    <t>Shares sold to meet calls ($mm)</t>
  </si>
  <si>
    <t>Liquidation cost paid ($mm)</t>
  </si>
  <si>
    <t>Period-by-period simulation</t>
  </si>
  <si>
    <t>t</t>
  </si>
  <si>
    <t>Period</t>
  </si>
  <si>
    <t>Driver (index)</t>
  </si>
  <si>
    <t>Margin rate (% of position)</t>
  </si>
  <si>
    <t>Loan interest rate p.a.</t>
  </si>
  <si>
    <t>% change in driver</t>
  </si>
  <si>
    <t>Position live at start (1/0)</t>
  </si>
  <si>
    <t>Exposure: position value at start</t>
  </si>
  <si>
    <t>Price P&amp;L = exposure x % change</t>
  </si>
  <si>
    <t>Dividends</t>
  </si>
  <si>
    <t>Loan interest</t>
  </si>
  <si>
    <t>Net P&amp;L</t>
  </si>
  <si>
    <t>Position value at end</t>
  </si>
  <si>
    <t>Loan before call</t>
  </si>
  <si>
    <t>Equity before call</t>
  </si>
  <si>
    <t>Required margin</t>
  </si>
  <si>
    <t>Margin call</t>
  </si>
  <si>
    <t>Cash paid from reserve</t>
  </si>
  <si>
    <t>Shortfall (unmet call)</t>
  </si>
  <si>
    <t>Forced-liquidation cost</t>
  </si>
  <si>
    <t>Equity after call</t>
  </si>
  <si>
    <t>Loan after call</t>
  </si>
  <si>
    <t>Liquidity reserve</t>
  </si>
  <si>
    <t>Position live at end (1/0)</t>
  </si>
  <si>
    <t>Status</t>
  </si>
  <si>
    <t>Net worth (equity + reserve)</t>
  </si>
  <si>
    <t>Shadow position value</t>
  </si>
  <si>
    <t>Shadow loan</t>
  </si>
  <si>
    <t>Shadow net worth (never forced out)</t>
  </si>
  <si>
    <t>Running peak of net worth</t>
  </si>
  <si>
    <t>Drawdown</t>
  </si>
  <si>
    <t>Default flag</t>
  </si>
  <si>
    <t>Shares sold to meet call ($mm of position)</t>
  </si>
  <si>
    <t>Position value after call (carried forward)</t>
  </si>
  <si>
    <t>Partial-sale flag</t>
  </si>
  <si>
    <t>Position opened</t>
  </si>
  <si>
    <t>Rick Guerin margin trade (plain vanilla) - Case 2A - Ruin with constant margin and financing rates</t>
  </si>
  <si>
    <t>Rick Guerin margin trade (plain vanilla) - Case 2B - Ruin with changing margin and financing rates</t>
  </si>
  <si>
    <t>Rick Guerin margin trade (plain vanilla) - Case 2C - Changing rates, sell to fund</t>
  </si>
  <si>
    <t>Rick Guerin margin trade (plain vanilla) - four cases side by side</t>
  </si>
  <si>
    <t>Same trade, leverage and reserve in all four. Cases 1, 2A and 2B differ in the paths of prices, margin rate and loan rate; Case 2C uses the Case 2B paths but sells shares to meet an unfunded call.</t>
  </si>
  <si>
    <t>Metric</t>
  </si>
  <si>
    <t>Case 1: Calm</t>
  </si>
  <si>
    <t>Case 2A: Ruin, constant rates</t>
  </si>
  <si>
    <t>Case 2B: Ruin, changing rates</t>
  </si>
  <si>
    <t>Case 2C: Changing rates, sell to fund</t>
  </si>
  <si>
    <t>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</si>
</sst>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
    <numFmt numFmtId="166" formatCode="0.0&quot;x&quot;"/>
    <numFmt numFmtId="167" formatCode="#,##0.0"/>
    <numFmt numFmtId="168" formatCode="0.00%;\(0.00%\);\-"/>
    <numFmt numFmtId="169" formatCode="0.0%;\(0.0%\);\-"/>
  </numFmts>
  <fonts count="13" x14ac:knownFonts="1">
    <font>
      <sz val="11"/>
      <color theme="1"/>
      <name val="Calibri"/>
      <family val="2"/>
      <scheme val="minor"/>
    </font>
    <font>
      <b/>
      <sz val="14"/>
      <color rgb="FF1F3864"/>
      <name val="Trebuchet MS"/>
      <family val="2"/>
    </font>
    <font>
      <i/>
      <sz val="10"/>
      <color rgb="FF595959"/>
      <name val="Trebuchet MS"/>
      <family val="2"/>
    </font>
    <font>
      <b/>
      <sz val="10"/>
      <color rgb="FFFFFFFF"/>
      <name val="Trebuchet MS"/>
      <family val="2"/>
    </font>
    <font>
      <sz val="10"/>
      <name val="Trebuchet MS"/>
      <family val="2"/>
    </font>
    <font>
      <sz val="10"/>
      <color rgb="FF0000FF"/>
      <name val="Trebuchet MS"/>
      <family val="2"/>
    </font>
    <font>
      <sz val="10"/>
      <color rgb="FF595959"/>
      <name val="Trebuchet MS"/>
      <family val="2"/>
    </font>
    <font>
      <sz val="10"/>
      <color rgb="FF000000"/>
      <name val="Trebuchet MS"/>
      <family val="2"/>
    </font>
    <font>
      <b/>
      <sz val="10"/>
      <name val="Trebuchet MS"/>
      <family val="2"/>
    </font>
    <font>
      <b/>
      <sz val="10"/>
      <color rgb="FF0000FF"/>
      <name val="Trebuchet MS"/>
      <family val="2"/>
    </font>
    <font>
      <b/>
      <sz val="10"/>
      <color rgb="FF1F3864"/>
      <name val="Trebuchet MS"/>
      <family val="2"/>
    </font>
    <font>
      <sz val="10"/>
      <color rgb="FF008000"/>
      <name val="Trebuchet MS"/>
      <family val="2"/>
    </font>
    <font>
      <u/>
      <sz val="10"/>
      <color rgb="FF0563C1"/>
      <name val="Trebuchet MS"/>
      <family val="2"/>
    </font>
  </fonts>
  <fills count="5">
    <fill>
      <patternFill patternType="none"/>
    </fill>
    <fill>
      <patternFill patternType="gray125"/>
    </fill>
    <fill>
      <patternFill patternType="solid">
        <fgColor rgb="FF1F3864"/>
      </patternFill>
    </fill>
    <fill>
      <patternFill patternType="solid">
        <fgColor rgb="FFFFFF00"/>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10" fillId="4" borderId="0" xfId="0" applyFont="1" applyFill="1"/>
    <xf numFmtId="0" fontId="12" fillId="0" borderId="0" xfId="0" applyFont="1"/>
    <xf numFmtId="0" fontId="4" fillId="0" borderId="0" xfId="0" applyFont="1" applyAlignment="1">
      <alignment vertical="top" wrapText="1"/>
    </xf>
    <xf numFmtId="0" fontId="3" fillId="2" borderId="1" xfId="0" applyFont="1" applyFill="1" applyBorder="1" applyAlignment="1">
      <alignment horizontal="center" vertical="center" wrapText="1"/>
    </xf>
    <xf numFmtId="0" fontId="4" fillId="0" borderId="1" xfId="0" applyFont="1" applyBorder="1"/>
    <xf numFmtId="0" fontId="5" fillId="0" borderId="1" xfId="0" applyFont="1" applyBorder="1" applyAlignment="1">
      <alignment horizontal="right"/>
    </xf>
    <xf numFmtId="0" fontId="6" fillId="0" borderId="1" xfId="0" applyFont="1" applyBorder="1" applyAlignment="1">
      <alignment vertical="top" wrapText="1"/>
    </xf>
    <xf numFmtId="0" fontId="6" fillId="0" borderId="1" xfId="0" applyFont="1" applyBorder="1"/>
    <xf numFmtId="1" fontId="5" fillId="0" borderId="1" xfId="0" applyNumberFormat="1" applyFont="1" applyBorder="1" applyAlignment="1">
      <alignment horizontal="right"/>
    </xf>
    <xf numFmtId="164" fontId="7" fillId="0" borderId="1" xfId="0" applyNumberFormat="1" applyFont="1" applyBorder="1" applyAlignment="1">
      <alignment horizontal="right"/>
    </xf>
    <xf numFmtId="165" fontId="5" fillId="0" borderId="1" xfId="0" applyNumberFormat="1" applyFont="1" applyBorder="1" applyAlignment="1">
      <alignment horizontal="right"/>
    </xf>
    <xf numFmtId="165" fontId="5" fillId="3" borderId="1" xfId="0" applyNumberFormat="1" applyFont="1" applyFill="1" applyBorder="1" applyAlignment="1">
      <alignment horizontal="right"/>
    </xf>
    <xf numFmtId="166" fontId="5" fillId="3" borderId="1" xfId="0" applyNumberFormat="1" applyFont="1" applyFill="1" applyBorder="1" applyAlignment="1">
      <alignment horizontal="right"/>
    </xf>
    <xf numFmtId="165" fontId="7" fillId="0" borderId="1" xfId="0" applyNumberFormat="1" applyFont="1" applyBorder="1" applyAlignment="1">
      <alignment horizontal="right"/>
    </xf>
    <xf numFmtId="167" fontId="5" fillId="0" borderId="1" xfId="0" applyNumberFormat="1" applyFont="1" applyBorder="1" applyAlignment="1">
      <alignment horizontal="right"/>
    </xf>
    <xf numFmtId="168" fontId="5" fillId="0" borderId="1" xfId="0" applyNumberFormat="1" applyFont="1" applyBorder="1" applyAlignment="1">
      <alignment horizontal="right"/>
    </xf>
    <xf numFmtId="168" fontId="5" fillId="3" borderId="1" xfId="0" applyNumberFormat="1" applyFont="1" applyFill="1" applyBorder="1" applyAlignment="1">
      <alignment horizontal="right"/>
    </xf>
    <xf numFmtId="0" fontId="7" fillId="0" borderId="1" xfId="0" applyFont="1" applyBorder="1" applyAlignment="1">
      <alignment horizontal="right"/>
    </xf>
    <xf numFmtId="0" fontId="0" fillId="0" borderId="1" xfId="0" applyBorder="1"/>
    <xf numFmtId="0" fontId="9" fillId="3" borderId="1" xfId="0" applyFont="1" applyFill="1" applyBorder="1" applyAlignment="1">
      <alignment horizontal="center"/>
    </xf>
    <xf numFmtId="0" fontId="0" fillId="4" borderId="0" xfId="0" applyFill="1"/>
    <xf numFmtId="0" fontId="10" fillId="0" borderId="0" xfId="0" applyFont="1"/>
    <xf numFmtId="1" fontId="7" fillId="0" borderId="1" xfId="0" applyNumberFormat="1" applyFont="1" applyBorder="1"/>
    <xf numFmtId="165" fontId="7" fillId="0" borderId="1" xfId="0" applyNumberFormat="1" applyFont="1" applyBorder="1"/>
    <xf numFmtId="167" fontId="11" fillId="0" borderId="1" xfId="0" applyNumberFormat="1" applyFont="1" applyBorder="1"/>
    <xf numFmtId="168" fontId="11" fillId="0" borderId="1" xfId="0" applyNumberFormat="1" applyFont="1" applyBorder="1"/>
    <xf numFmtId="168" fontId="7" fillId="0" borderId="1" xfId="0" applyNumberFormat="1" applyFont="1" applyBorder="1"/>
    <xf numFmtId="165" fontId="11" fillId="0" borderId="1" xfId="0" applyNumberFormat="1" applyFont="1" applyBorder="1"/>
    <xf numFmtId="169" fontId="7" fillId="0" borderId="1" xfId="0" applyNumberFormat="1" applyFont="1" applyBorder="1"/>
    <xf numFmtId="167" fontId="5" fillId="0" borderId="1" xfId="0" applyNumberFormat="1" applyFont="1" applyBorder="1"/>
    <xf numFmtId="168" fontId="5" fillId="0" borderId="1" xfId="0" applyNumberFormat="1" applyFont="1" applyBorder="1"/>
    <xf numFmtId="165" fontId="11" fillId="0" borderId="1" xfId="0" applyNumberFormat="1" applyFont="1" applyBorder="1" applyAlignment="1">
      <alignment horizontal="right"/>
    </xf>
    <xf numFmtId="169" fontId="11" fillId="0" borderId="1" xfId="0" applyNumberFormat="1" applyFont="1" applyBorder="1" applyAlignment="1">
      <alignment horizontal="right"/>
    </xf>
    <xf numFmtId="1" fontId="11" fillId="0" borderId="1" xfId="0" applyNumberFormat="1" applyFont="1" applyBorder="1" applyAlignment="1">
      <alignment horizontal="right"/>
    </xf>
    <xf numFmtId="0" fontId="11" fillId="0" borderId="1" xfId="0" applyFont="1" applyBorder="1" applyAlignment="1">
      <alignment horizontal="right"/>
    </xf>
    <xf numFmtId="0" fontId="4" fillId="0" borderId="0" xfId="0" applyFont="1" applyAlignment="1">
      <alignment vertical="top" wrapText="1"/>
    </xf>
    <xf numFmtId="0" fontId="0" fillId="0" borderId="0" xfId="0"/>
    <xf numFmtId="165" fontId="8" fillId="0" borderId="1" xfId="0" applyNumberFormat="1" applyFont="1" applyBorder="1" applyAlignment="1">
      <alignment horizontal="right"/>
    </xf>
    <xf numFmtId="0" fontId="0" fillId="0" borderId="1" xfId="0" applyBorder="1"/>
    <xf numFmtId="0" fontId="4" fillId="0" borderId="1" xfId="0" applyFont="1" applyBorder="1"/>
    <xf numFmtId="1" fontId="8" fillId="0" borderId="1" xfId="0" applyNumberFormat="1" applyFont="1" applyBorder="1" applyAlignment="1">
      <alignment horizontal="right"/>
    </xf>
    <xf numFmtId="0" fontId="8" fillId="0" borderId="1" xfId="0" applyFont="1" applyBorder="1" applyAlignment="1">
      <alignment horizontal="right"/>
    </xf>
    <xf numFmtId="0" fontId="8" fillId="0" borderId="0" xfId="0" applyFont="1" applyAlignment="1">
      <alignment vertical="center" wrapText="1"/>
    </xf>
    <xf numFmtId="169" fontId="8" fillId="0" borderId="1" xfId="0" applyNumberFormat="1" applyFont="1" applyBorder="1" applyAlignment="1">
      <alignment horizontal="right"/>
    </xf>
  </cellXfs>
  <cellStyles count="1">
    <cellStyle name="Normal" xfId="0" builtinId="0"/>
  </cellStyles>
  <dxfs count="26">
    <dxf>
      <fill>
        <patternFill patternType="solid">
          <fgColor rgb="FFC6EFCE"/>
          <bgColor rgb="FFC6EFCE"/>
        </patternFill>
      </fill>
    </dxf>
    <dxf>
      <fill>
        <patternFill patternType="solid">
          <fgColor rgb="FFF4B6B6"/>
          <bgColor rgb="FFF4B6B6"/>
        </patternFill>
      </fill>
    </dxf>
    <dxf>
      <font>
        <b/>
        <color rgb="FF006100"/>
        <name val="Trebuchet MS"/>
      </font>
      <fill>
        <patternFill patternType="solid">
          <fgColor rgb="FFC6EFCE"/>
          <bgColor rgb="FFC6EFCE"/>
        </patternFill>
      </fill>
    </dxf>
    <dxf>
      <font>
        <b/>
        <color rgb="FF9C0006"/>
        <name val="Trebuchet MS"/>
      </font>
      <fill>
        <patternFill patternType="solid">
          <fgColor rgb="FFF4B6B6"/>
          <bgColor rgb="FFF4B6B6"/>
        </patternFill>
      </fill>
    </dxf>
    <dxf>
      <fill>
        <patternFill patternType="solid">
          <fgColor rgb="FFE7E6E6"/>
          <bgColor rgb="FFE7E6E6"/>
        </patternFill>
      </fill>
    </dxf>
    <dxf>
      <fill>
        <patternFill patternType="solid">
          <fgColor rgb="FFFFE699"/>
          <bgColor rgb="FFFFE699"/>
        </patternFill>
      </fill>
    </dxf>
    <dxf>
      <fill>
        <patternFill patternType="solid">
          <fgColor rgb="FFDDEBF7"/>
          <bgColor rgb="FFDDEBF7"/>
        </patternFill>
      </fill>
    </dxf>
    <dxf>
      <fill>
        <patternFill patternType="solid">
          <fgColor rgb="FFF4B6B6"/>
          <bgColor rgb="FFF4B6B6"/>
        </patternFill>
      </fill>
    </dxf>
    <dxf>
      <font>
        <b/>
        <color rgb="FF006100"/>
        <name val="Trebuchet MS"/>
      </font>
      <fill>
        <patternFill patternType="solid">
          <fgColor rgb="FFC6EFCE"/>
          <bgColor rgb="FFC6EFCE"/>
        </patternFill>
      </fill>
    </dxf>
    <dxf>
      <font>
        <b/>
        <color rgb="FF9C0006"/>
        <name val="Trebuchet MS"/>
      </font>
      <fill>
        <patternFill patternType="solid">
          <fgColor rgb="FFF4B6B6"/>
          <bgColor rgb="FFF4B6B6"/>
        </patternFill>
      </fill>
    </dxf>
    <dxf>
      <fill>
        <patternFill patternType="solid">
          <fgColor rgb="FFE7E6E6"/>
          <bgColor rgb="FFE7E6E6"/>
        </patternFill>
      </fill>
    </dxf>
    <dxf>
      <fill>
        <patternFill patternType="solid">
          <fgColor rgb="FFFFE699"/>
          <bgColor rgb="FFFFE699"/>
        </patternFill>
      </fill>
    </dxf>
    <dxf>
      <fill>
        <patternFill patternType="solid">
          <fgColor rgb="FFDDEBF7"/>
          <bgColor rgb="FFDDEBF7"/>
        </patternFill>
      </fill>
    </dxf>
    <dxf>
      <fill>
        <patternFill patternType="solid">
          <fgColor rgb="FFF4B6B6"/>
          <bgColor rgb="FFF4B6B6"/>
        </patternFill>
      </fill>
    </dxf>
    <dxf>
      <font>
        <b/>
        <color rgb="FF006100"/>
        <name val="Trebuchet MS"/>
      </font>
      <fill>
        <patternFill patternType="solid">
          <fgColor rgb="FFC6EFCE"/>
          <bgColor rgb="FFC6EFCE"/>
        </patternFill>
      </fill>
    </dxf>
    <dxf>
      <font>
        <b/>
        <color rgb="FF9C0006"/>
        <name val="Trebuchet MS"/>
      </font>
      <fill>
        <patternFill patternType="solid">
          <fgColor rgb="FFF4B6B6"/>
          <bgColor rgb="FFF4B6B6"/>
        </patternFill>
      </fill>
    </dxf>
    <dxf>
      <fill>
        <patternFill patternType="solid">
          <fgColor rgb="FFE7E6E6"/>
          <bgColor rgb="FFE7E6E6"/>
        </patternFill>
      </fill>
    </dxf>
    <dxf>
      <fill>
        <patternFill patternType="solid">
          <fgColor rgb="FFFFE699"/>
          <bgColor rgb="FFFFE699"/>
        </patternFill>
      </fill>
    </dxf>
    <dxf>
      <fill>
        <patternFill patternType="solid">
          <fgColor rgb="FFDDEBF7"/>
          <bgColor rgb="FFDDEBF7"/>
        </patternFill>
      </fill>
    </dxf>
    <dxf>
      <fill>
        <patternFill patternType="solid">
          <fgColor rgb="FFF4B6B6"/>
          <bgColor rgb="FFF4B6B6"/>
        </patternFill>
      </fill>
    </dxf>
    <dxf>
      <font>
        <b/>
        <color rgb="FF006100"/>
        <name val="Trebuchet MS"/>
      </font>
      <fill>
        <patternFill patternType="solid">
          <fgColor rgb="FFC6EFCE"/>
          <bgColor rgb="FFC6EFCE"/>
        </patternFill>
      </fill>
    </dxf>
    <dxf>
      <font>
        <b/>
        <color rgb="FF9C0006"/>
        <name val="Trebuchet MS"/>
      </font>
      <fill>
        <patternFill patternType="solid">
          <fgColor rgb="FFF4B6B6"/>
          <bgColor rgb="FFF4B6B6"/>
        </patternFill>
      </fill>
    </dxf>
    <dxf>
      <fill>
        <patternFill patternType="solid">
          <fgColor rgb="FFE7E6E6"/>
          <bgColor rgb="FFE7E6E6"/>
        </patternFill>
      </fill>
    </dxf>
    <dxf>
      <fill>
        <patternFill patternType="solid">
          <fgColor rgb="FFFFE699"/>
          <bgColor rgb="FFFFE699"/>
        </patternFill>
      </fill>
    </dxf>
    <dxf>
      <fill>
        <patternFill patternType="solid">
          <fgColor rgb="FFDDEBF7"/>
          <bgColor rgb="FFDDEBF7"/>
        </patternFill>
      </fill>
    </dxf>
    <dxf>
      <fill>
        <patternFill patternType="solid">
          <fgColor rgb="FFF4B6B6"/>
          <bgColor rgb="FFF4B6B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Net worth: actual vs. never-forced-out ($mm)</a:t>
            </a:r>
          </a:p>
        </c:rich>
      </c:tx>
      <c:overlay val="1"/>
    </c:title>
    <c:autoTitleDeleted val="0"/>
    <c:plotArea>
      <c:layout/>
      <c:lineChart>
        <c:grouping val="standard"/>
        <c:varyColors val="1"/>
        <c:ser>
          <c:idx val="0"/>
          <c:order val="0"/>
          <c:tx>
            <c:strRef>
              <c:f>Case1_Calm!$Z$26</c:f>
              <c:strCache>
                <c:ptCount val="1"/>
                <c:pt idx="0">
                  <c:v>Net worth (equity + reserve)</c:v>
                </c:pt>
              </c:strCache>
            </c:strRef>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Case1_Calm!$Z$27:$Z$59</c:f>
              <c:numCache>
                <c:formatCode>#,##0.0;\(#,##0.0\);\-</c:formatCode>
                <c:ptCount val="33"/>
                <c:pt idx="0">
                  <c:v>110</c:v>
                </c:pt>
                <c:pt idx="1">
                  <c:v>114.61000000000001</c:v>
                </c:pt>
                <c:pt idx="2">
                  <c:v>114.24745</c:v>
                </c:pt>
                <c:pt idx="3">
                  <c:v>118.48744899999997</c:v>
                </c:pt>
                <c:pt idx="4">
                  <c:v>121.53244798000001</c:v>
                </c:pt>
                <c:pt idx="5">
                  <c:v>125.04784693960005</c:v>
                </c:pt>
                <c:pt idx="6">
                  <c:v>125.79742887839203</c:v>
                </c:pt>
                <c:pt idx="7">
                  <c:v>130.07875245595986</c:v>
                </c:pt>
                <c:pt idx="8">
                  <c:v>129.54835250507907</c:v>
                </c:pt>
                <c:pt idx="9">
                  <c:v>138.48051955518062</c:v>
                </c:pt>
                <c:pt idx="10">
                  <c:v>138.37015494628426</c:v>
                </c:pt>
                <c:pt idx="11">
                  <c:v>142.77625804520994</c:v>
                </c:pt>
                <c:pt idx="12">
                  <c:v>144.33468320611416</c:v>
                </c:pt>
                <c:pt idx="13">
                  <c:v>149.93647687023645</c:v>
                </c:pt>
                <c:pt idx="14">
                  <c:v>152.3041064076412</c:v>
                </c:pt>
                <c:pt idx="15">
                  <c:v>155.13983853579401</c:v>
                </c:pt>
                <c:pt idx="16">
                  <c:v>157.11541030650989</c:v>
                </c:pt>
                <c:pt idx="17">
                  <c:v>164.05664351264005</c:v>
                </c:pt>
                <c:pt idx="18">
                  <c:v>165.86697638289291</c:v>
                </c:pt>
                <c:pt idx="19">
                  <c:v>171.83259091055078</c:v>
                </c:pt>
                <c:pt idx="20">
                  <c:v>175.07284272876177</c:v>
                </c:pt>
                <c:pt idx="21">
                  <c:v>179.86987458333704</c:v>
                </c:pt>
                <c:pt idx="22">
                  <c:v>181.75369707500374</c:v>
                </c:pt>
                <c:pt idx="23">
                  <c:v>187.25494601650379</c:v>
                </c:pt>
                <c:pt idx="24">
                  <c:v>192.08096993683387</c:v>
                </c:pt>
                <c:pt idx="25">
                  <c:v>197.88326433557057</c:v>
                </c:pt>
                <c:pt idx="26">
                  <c:v>201.14165462228192</c:v>
                </c:pt>
                <c:pt idx="27">
                  <c:v>205.68966271472755</c:v>
                </c:pt>
                <c:pt idx="28">
                  <c:v>210.1513309690221</c:v>
                </c:pt>
                <c:pt idx="29">
                  <c:v>215.33650758840258</c:v>
                </c:pt>
                <c:pt idx="30">
                  <c:v>220.62111274017062</c:v>
                </c:pt>
                <c:pt idx="31">
                  <c:v>225.88045999497399</c:v>
                </c:pt>
                <c:pt idx="32">
                  <c:v>231.13294419487346</c:v>
                </c:pt>
              </c:numCache>
            </c:numRef>
          </c:val>
          <c:smooth val="0"/>
          <c:extLst>
            <c:ext xmlns:c16="http://schemas.microsoft.com/office/drawing/2014/chart" uri="{C3380CC4-5D6E-409C-BE32-E72D297353CC}">
              <c16:uniqueId val="{00000000-EA7E-4A19-8108-2AEEE779EB68}"/>
            </c:ext>
          </c:extLst>
        </c:ser>
        <c:ser>
          <c:idx val="1"/>
          <c:order val="1"/>
          <c:tx>
            <c:strRef>
              <c:f>Case1_Calm!$AC$26</c:f>
              <c:strCache>
                <c:ptCount val="1"/>
                <c:pt idx="0">
                  <c:v>Shadow net worth (never forced out)</c:v>
                </c:pt>
              </c:strCache>
            </c:strRef>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Case1_Calm!$AC$27:$AC$59</c:f>
              <c:numCache>
                <c:formatCode>#,##0.0;\(#,##0.0\);\-</c:formatCode>
                <c:ptCount val="33"/>
                <c:pt idx="0">
                  <c:v>110</c:v>
                </c:pt>
                <c:pt idx="1">
                  <c:v>114.61000000000001</c:v>
                </c:pt>
                <c:pt idx="2">
                  <c:v>114.24745</c:v>
                </c:pt>
                <c:pt idx="3">
                  <c:v>118.48744899999997</c:v>
                </c:pt>
                <c:pt idx="4">
                  <c:v>121.53244798000001</c:v>
                </c:pt>
                <c:pt idx="5">
                  <c:v>125.04784693960005</c:v>
                </c:pt>
                <c:pt idx="6">
                  <c:v>125.79742887839203</c:v>
                </c:pt>
                <c:pt idx="7">
                  <c:v>130.07875245595986</c:v>
                </c:pt>
                <c:pt idx="8">
                  <c:v>129.54835250507907</c:v>
                </c:pt>
                <c:pt idx="9">
                  <c:v>138.48051955518059</c:v>
                </c:pt>
                <c:pt idx="10">
                  <c:v>138.37015494628423</c:v>
                </c:pt>
                <c:pt idx="11">
                  <c:v>142.77625804520994</c:v>
                </c:pt>
                <c:pt idx="12">
                  <c:v>144.33468320611414</c:v>
                </c:pt>
                <c:pt idx="13">
                  <c:v>149.93647687023645</c:v>
                </c:pt>
                <c:pt idx="14">
                  <c:v>152.30410640764117</c:v>
                </c:pt>
                <c:pt idx="15">
                  <c:v>155.13983853579401</c:v>
                </c:pt>
                <c:pt idx="16">
                  <c:v>157.11541030650989</c:v>
                </c:pt>
                <c:pt idx="17">
                  <c:v>164.05664351264005</c:v>
                </c:pt>
                <c:pt idx="18">
                  <c:v>165.86697638289289</c:v>
                </c:pt>
                <c:pt idx="19">
                  <c:v>171.83259091055072</c:v>
                </c:pt>
                <c:pt idx="20">
                  <c:v>175.07284272876177</c:v>
                </c:pt>
                <c:pt idx="21">
                  <c:v>179.86987458333704</c:v>
                </c:pt>
                <c:pt idx="22">
                  <c:v>181.75369707500369</c:v>
                </c:pt>
                <c:pt idx="23">
                  <c:v>187.25494601650377</c:v>
                </c:pt>
                <c:pt idx="24">
                  <c:v>192.08096993683381</c:v>
                </c:pt>
                <c:pt idx="25">
                  <c:v>197.88326433557052</c:v>
                </c:pt>
                <c:pt idx="26">
                  <c:v>201.14165462228186</c:v>
                </c:pt>
                <c:pt idx="27">
                  <c:v>205.68966271472749</c:v>
                </c:pt>
                <c:pt idx="28">
                  <c:v>210.15133096902207</c:v>
                </c:pt>
                <c:pt idx="29">
                  <c:v>215.33650758840253</c:v>
                </c:pt>
                <c:pt idx="30">
                  <c:v>220.62111274017059</c:v>
                </c:pt>
                <c:pt idx="31">
                  <c:v>225.88045999497393</c:v>
                </c:pt>
                <c:pt idx="32">
                  <c:v>231.13294419487343</c:v>
                </c:pt>
              </c:numCache>
            </c:numRef>
          </c:val>
          <c:smooth val="0"/>
          <c:extLst>
            <c:ext xmlns:c16="http://schemas.microsoft.com/office/drawing/2014/chart" uri="{C3380CC4-5D6E-409C-BE32-E72D297353CC}">
              <c16:uniqueId val="{00000001-EA7E-4A19-8108-2AEEE779EB68}"/>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numFmt formatCode="#,##0.0;\(#,##0.0\);\-" sourceLinked="1"/>
        <c:majorTickMark val="none"/>
        <c:minorTickMark val="none"/>
        <c:tickLblPos val="nextTo"/>
        <c:crossAx val="10"/>
        <c:crosses val="autoZero"/>
        <c:crossBetween val="between"/>
      </c:valAx>
    </c:plotArea>
    <c:legend>
      <c:legendPos val="b"/>
      <c:overlay val="1"/>
    </c:legend>
    <c:plotVisOnly val="1"/>
    <c:dispBlanksAs val="gap"/>
    <c:showDLblsOverMax val="1"/>
  </c:chart>
  <c:txPr>
    <a:bodyPr/>
    <a:lstStyle/>
    <a:p>
      <a:pPr>
        <a:defRPr>
          <a:latin typeface="Trebuchet MS" panose="020B0603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Net worth: actual vs. never-forced-out ($mm)</a:t>
            </a:r>
          </a:p>
        </c:rich>
      </c:tx>
      <c:overlay val="1"/>
    </c:title>
    <c:autoTitleDeleted val="0"/>
    <c:plotArea>
      <c:layout/>
      <c:lineChart>
        <c:grouping val="standard"/>
        <c:varyColors val="1"/>
        <c:ser>
          <c:idx val="0"/>
          <c:order val="0"/>
          <c:tx>
            <c:strRef>
              <c:f>Case2A_Ruin_ConstRates!$Z$26</c:f>
              <c:strCache>
                <c:ptCount val="1"/>
                <c:pt idx="0">
                  <c:v>Net worth (equity + reserve)</c:v>
                </c:pt>
              </c:strCache>
            </c:strRef>
          </c:tx>
          <c:spPr>
            <a:ln w="22000">
              <a:prstDash val="solid"/>
            </a:ln>
          </c:spPr>
          <c:marker>
            <c:symbol val="none"/>
          </c:marker>
          <c:cat>
            <c:numRef>
              <c:f>Case2A_Ruin_ConstRates!$A$27:$A$59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Case2A_Ruin_ConstRates!$Z$27:$Z$59</c:f>
              <c:numCache>
                <c:formatCode>#,##0.0;\(#,##0.0\);\-</c:formatCode>
                <c:ptCount val="33"/>
                <c:pt idx="0">
                  <c:v>110</c:v>
                </c:pt>
                <c:pt idx="1">
                  <c:v>108.256</c:v>
                </c:pt>
                <c:pt idx="2">
                  <c:v>93.913794999999979</c:v>
                </c:pt>
                <c:pt idx="3">
                  <c:v>80.342695899999995</c:v>
                </c:pt>
                <c:pt idx="4">
                  <c:v>61.247099817999995</c:v>
                </c:pt>
                <c:pt idx="5">
                  <c:v>45.566241814359984</c:v>
                </c:pt>
                <c:pt idx="6">
                  <c:v>13.967566650647196</c:v>
                </c:pt>
                <c:pt idx="7">
                  <c:v>13.967566650647196</c:v>
                </c:pt>
                <c:pt idx="8">
                  <c:v>13.967566650647196</c:v>
                </c:pt>
                <c:pt idx="9">
                  <c:v>13.967566650647196</c:v>
                </c:pt>
                <c:pt idx="10">
                  <c:v>13.967566650647196</c:v>
                </c:pt>
                <c:pt idx="11">
                  <c:v>13.967566650647196</c:v>
                </c:pt>
                <c:pt idx="12">
                  <c:v>13.967566650647196</c:v>
                </c:pt>
                <c:pt idx="13">
                  <c:v>13.967566650647196</c:v>
                </c:pt>
                <c:pt idx="14">
                  <c:v>13.967566650647196</c:v>
                </c:pt>
                <c:pt idx="15">
                  <c:v>13.967566650647196</c:v>
                </c:pt>
                <c:pt idx="16">
                  <c:v>13.967566650647196</c:v>
                </c:pt>
                <c:pt idx="17">
                  <c:v>13.967566650647196</c:v>
                </c:pt>
                <c:pt idx="18">
                  <c:v>13.967566650647196</c:v>
                </c:pt>
                <c:pt idx="19">
                  <c:v>13.967566650647196</c:v>
                </c:pt>
                <c:pt idx="20">
                  <c:v>13.967566650647196</c:v>
                </c:pt>
                <c:pt idx="21">
                  <c:v>13.967566650647196</c:v>
                </c:pt>
                <c:pt idx="22">
                  <c:v>13.967566650647196</c:v>
                </c:pt>
                <c:pt idx="23">
                  <c:v>13.967566650647196</c:v>
                </c:pt>
                <c:pt idx="24">
                  <c:v>13.967566650647196</c:v>
                </c:pt>
                <c:pt idx="25">
                  <c:v>13.967566650647196</c:v>
                </c:pt>
                <c:pt idx="26">
                  <c:v>13.967566650647196</c:v>
                </c:pt>
                <c:pt idx="27">
                  <c:v>13.967566650647196</c:v>
                </c:pt>
                <c:pt idx="28">
                  <c:v>13.967566650647196</c:v>
                </c:pt>
                <c:pt idx="29">
                  <c:v>13.967566650647196</c:v>
                </c:pt>
                <c:pt idx="30">
                  <c:v>13.967566650647196</c:v>
                </c:pt>
                <c:pt idx="31">
                  <c:v>13.967566650647196</c:v>
                </c:pt>
                <c:pt idx="32">
                  <c:v>13.967566650647196</c:v>
                </c:pt>
              </c:numCache>
            </c:numRef>
          </c:val>
          <c:smooth val="0"/>
          <c:extLst>
            <c:ext xmlns:c16="http://schemas.microsoft.com/office/drawing/2014/chart" uri="{C3380CC4-5D6E-409C-BE32-E72D297353CC}">
              <c16:uniqueId val="{00000000-BE71-46B8-99F1-07BC8B2DD92F}"/>
            </c:ext>
          </c:extLst>
        </c:ser>
        <c:ser>
          <c:idx val="1"/>
          <c:order val="1"/>
          <c:tx>
            <c:strRef>
              <c:f>Case2A_Ruin_ConstRates!$AC$26</c:f>
              <c:strCache>
                <c:ptCount val="1"/>
                <c:pt idx="0">
                  <c:v>Shadow net worth (never forced out)</c:v>
                </c:pt>
              </c:strCache>
            </c:strRef>
          </c:tx>
          <c:spPr>
            <a:ln w="22000">
              <a:prstDash val="solid"/>
            </a:ln>
          </c:spPr>
          <c:marker>
            <c:symbol val="none"/>
          </c:marker>
          <c:cat>
            <c:numRef>
              <c:f>Case2A_Ruin_ConstRates!$A$27:$A$59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Case2A_Ruin_ConstRates!$AC$27:$AC$59</c:f>
              <c:numCache>
                <c:formatCode>#,##0.0;\(#,##0.0\);\-</c:formatCode>
                <c:ptCount val="33"/>
                <c:pt idx="0">
                  <c:v>110</c:v>
                </c:pt>
                <c:pt idx="1">
                  <c:v>108.256</c:v>
                </c:pt>
                <c:pt idx="2">
                  <c:v>93.913794999999979</c:v>
                </c:pt>
                <c:pt idx="3">
                  <c:v>80.342695899999995</c:v>
                </c:pt>
                <c:pt idx="4">
                  <c:v>61.247099817999995</c:v>
                </c:pt>
                <c:pt idx="5">
                  <c:v>45.566241814359984</c:v>
                </c:pt>
                <c:pt idx="6">
                  <c:v>29.273866650647193</c:v>
                </c:pt>
                <c:pt idx="7">
                  <c:v>21.147818983660144</c:v>
                </c:pt>
                <c:pt idx="8">
                  <c:v>15.379700363333328</c:v>
                </c:pt>
                <c:pt idx="9">
                  <c:v>16.846294370599992</c:v>
                </c:pt>
                <c:pt idx="10">
                  <c:v>18.455170258011989</c:v>
                </c:pt>
                <c:pt idx="11">
                  <c:v>20.333373663172225</c:v>
                </c:pt>
                <c:pt idx="12">
                  <c:v>24.15691613643564</c:v>
                </c:pt>
                <c:pt idx="13">
                  <c:v>32.154404459164354</c:v>
                </c:pt>
                <c:pt idx="14">
                  <c:v>38.021342548347661</c:v>
                </c:pt>
                <c:pt idx="15">
                  <c:v>48.88834439931459</c:v>
                </c:pt>
                <c:pt idx="16">
                  <c:v>62.417311287300862</c:v>
                </c:pt>
                <c:pt idx="17">
                  <c:v>71.789082513046864</c:v>
                </c:pt>
                <c:pt idx="18">
                  <c:v>80.483614163307792</c:v>
                </c:pt>
                <c:pt idx="19">
                  <c:v>91.970586446573989</c:v>
                </c:pt>
                <c:pt idx="20">
                  <c:v>105.15564817550548</c:v>
                </c:pt>
                <c:pt idx="21">
                  <c:v>119.53051113901559</c:v>
                </c:pt>
                <c:pt idx="22">
                  <c:v>131.55924636179589</c:v>
                </c:pt>
                <c:pt idx="23">
                  <c:v>147.09353128903177</c:v>
                </c:pt>
                <c:pt idx="24">
                  <c:v>156.27872691481247</c:v>
                </c:pt>
                <c:pt idx="25">
                  <c:v>169.13062645310865</c:v>
                </c:pt>
                <c:pt idx="26">
                  <c:v>175.02156398217085</c:v>
                </c:pt>
                <c:pt idx="27">
                  <c:v>184.35852026181425</c:v>
                </c:pt>
                <c:pt idx="28">
                  <c:v>195.56589066705052</c:v>
                </c:pt>
                <c:pt idx="29">
                  <c:v>204.69858348039151</c:v>
                </c:pt>
                <c:pt idx="30">
                  <c:v>207.18810514999939</c:v>
                </c:pt>
                <c:pt idx="31">
                  <c:v>214.72151725299932</c:v>
                </c:pt>
                <c:pt idx="32">
                  <c:v>211.65892259805932</c:v>
                </c:pt>
              </c:numCache>
            </c:numRef>
          </c:val>
          <c:smooth val="0"/>
          <c:extLst>
            <c:ext xmlns:c16="http://schemas.microsoft.com/office/drawing/2014/chart" uri="{C3380CC4-5D6E-409C-BE32-E72D297353CC}">
              <c16:uniqueId val="{00000001-BE71-46B8-99F1-07BC8B2DD92F}"/>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numFmt formatCode="#,##0.0;\(#,##0.0\);\-" sourceLinked="1"/>
        <c:majorTickMark val="none"/>
        <c:minorTickMark val="none"/>
        <c:tickLblPos val="nextTo"/>
        <c:crossAx val="10"/>
        <c:crosses val="autoZero"/>
        <c:crossBetween val="between"/>
      </c:valAx>
    </c:plotArea>
    <c:legend>
      <c:legendPos val="b"/>
      <c:overlay val="1"/>
    </c:legend>
    <c:plotVisOnly val="1"/>
    <c:dispBlanksAs val="gap"/>
    <c:showDLblsOverMax val="1"/>
  </c:chart>
  <c:txPr>
    <a:bodyPr/>
    <a:lstStyle/>
    <a:p>
      <a:pPr>
        <a:defRPr>
          <a:latin typeface="Trebuchet MS" panose="020B0603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Net worth: actual vs. never-forced-out ($mm)</a:t>
            </a:r>
          </a:p>
        </c:rich>
      </c:tx>
      <c:overlay val="1"/>
    </c:title>
    <c:autoTitleDeleted val="0"/>
    <c:plotArea>
      <c:layout/>
      <c:lineChart>
        <c:grouping val="standard"/>
        <c:varyColors val="1"/>
        <c:ser>
          <c:idx val="0"/>
          <c:order val="0"/>
          <c:tx>
            <c:strRef>
              <c:f>Case2B_Ruin_ChangingRates!$Z$26</c:f>
              <c:strCache>
                <c:ptCount val="1"/>
                <c:pt idx="0">
                  <c:v>Net worth (equity + reserve)</c:v>
                </c:pt>
              </c:strCache>
            </c:strRef>
          </c:tx>
          <c:spPr>
            <a:ln w="22000">
              <a:prstDash val="solid"/>
            </a:ln>
          </c:spPr>
          <c:marker>
            <c:symbol val="none"/>
          </c:marker>
          <c:cat>
            <c:numRef>
              <c:f>Case2B_Ruin_ChangingRates!$A$27:$A$59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Case2B_Ruin_ChangingRates!$Z$27:$Z$59</c:f>
              <c:numCache>
                <c:formatCode>#,##0.0;\(#,##0.0\);\-</c:formatCode>
                <c:ptCount val="33"/>
                <c:pt idx="0">
                  <c:v>110</c:v>
                </c:pt>
                <c:pt idx="1">
                  <c:v>103.58399999999999</c:v>
                </c:pt>
                <c:pt idx="2">
                  <c:v>93.88263000000002</c:v>
                </c:pt>
                <c:pt idx="3">
                  <c:v>85.834629161250021</c:v>
                </c:pt>
                <c:pt idx="4">
                  <c:v>74.477544103829715</c:v>
                </c:pt>
                <c:pt idx="5">
                  <c:v>63.923066127386534</c:v>
                </c:pt>
                <c:pt idx="6">
                  <c:v>59.063420727386536</c:v>
                </c:pt>
                <c:pt idx="7">
                  <c:v>60.507020727386511</c:v>
                </c:pt>
                <c:pt idx="8">
                  <c:v>72.385130727386496</c:v>
                </c:pt>
                <c:pt idx="9">
                  <c:v>81.581913477386507</c:v>
                </c:pt>
                <c:pt idx="10">
                  <c:v>102.60652294034276</c:v>
                </c:pt>
                <c:pt idx="11">
                  <c:v>116.34996140947038</c:v>
                </c:pt>
                <c:pt idx="12">
                  <c:v>126.21711039896468</c:v>
                </c:pt>
                <c:pt idx="13">
                  <c:v>128.50695288206782</c:v>
                </c:pt>
                <c:pt idx="14">
                  <c:v>123.34399417427744</c:v>
                </c:pt>
                <c:pt idx="15">
                  <c:v>107.07671954187509</c:v>
                </c:pt>
                <c:pt idx="16">
                  <c:v>91.947497012237278</c:v>
                </c:pt>
                <c:pt idx="17">
                  <c:v>68.674389110070706</c:v>
                </c:pt>
                <c:pt idx="18">
                  <c:v>26.306902610070704</c:v>
                </c:pt>
                <c:pt idx="19">
                  <c:v>26.306902610070704</c:v>
                </c:pt>
                <c:pt idx="20">
                  <c:v>26.306902610070704</c:v>
                </c:pt>
                <c:pt idx="21">
                  <c:v>26.306902610070704</c:v>
                </c:pt>
                <c:pt idx="22">
                  <c:v>26.306902610070704</c:v>
                </c:pt>
                <c:pt idx="23">
                  <c:v>26.306902610070704</c:v>
                </c:pt>
                <c:pt idx="24">
                  <c:v>26.306902610070704</c:v>
                </c:pt>
                <c:pt idx="25">
                  <c:v>26.306902610070704</c:v>
                </c:pt>
                <c:pt idx="26">
                  <c:v>26.306902610070704</c:v>
                </c:pt>
                <c:pt idx="27">
                  <c:v>26.306902610070704</c:v>
                </c:pt>
                <c:pt idx="28">
                  <c:v>26.306902610070704</c:v>
                </c:pt>
                <c:pt idx="29">
                  <c:v>26.306902610070704</c:v>
                </c:pt>
                <c:pt idx="30">
                  <c:v>26.306902610070704</c:v>
                </c:pt>
                <c:pt idx="31">
                  <c:v>26.306902610070704</c:v>
                </c:pt>
                <c:pt idx="32">
                  <c:v>26.306902610070704</c:v>
                </c:pt>
              </c:numCache>
            </c:numRef>
          </c:val>
          <c:smooth val="0"/>
          <c:extLst>
            <c:ext xmlns:c16="http://schemas.microsoft.com/office/drawing/2014/chart" uri="{C3380CC4-5D6E-409C-BE32-E72D297353CC}">
              <c16:uniqueId val="{00000000-606E-4892-BAB6-BC47BC8DF70B}"/>
            </c:ext>
          </c:extLst>
        </c:ser>
        <c:ser>
          <c:idx val="1"/>
          <c:order val="1"/>
          <c:tx>
            <c:strRef>
              <c:f>Case2B_Ruin_ChangingRates!$AC$26</c:f>
              <c:strCache>
                <c:ptCount val="1"/>
                <c:pt idx="0">
                  <c:v>Shadow net worth (never forced out)</c:v>
                </c:pt>
              </c:strCache>
            </c:strRef>
          </c:tx>
          <c:spPr>
            <a:ln w="22000">
              <a:prstDash val="solid"/>
            </a:ln>
          </c:spPr>
          <c:marker>
            <c:symbol val="none"/>
          </c:marker>
          <c:cat>
            <c:numRef>
              <c:f>Case2B_Ruin_ChangingRates!$A$27:$A$59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Case2B_Ruin_ChangingRates!$AC$27:$AC$59</c:f>
              <c:numCache>
                <c:formatCode>#,##0.0;\(#,##0.0\);\-</c:formatCode>
                <c:ptCount val="33"/>
                <c:pt idx="0">
                  <c:v>110</c:v>
                </c:pt>
                <c:pt idx="1">
                  <c:v>103.58399999999999</c:v>
                </c:pt>
                <c:pt idx="2">
                  <c:v>93.88263000000002</c:v>
                </c:pt>
                <c:pt idx="3">
                  <c:v>85.834629161250021</c:v>
                </c:pt>
                <c:pt idx="4">
                  <c:v>74.477544103829715</c:v>
                </c:pt>
                <c:pt idx="5">
                  <c:v>63.923066127386534</c:v>
                </c:pt>
                <c:pt idx="6">
                  <c:v>59.002417780571193</c:v>
                </c:pt>
                <c:pt idx="7">
                  <c:v>60.27247822508545</c:v>
                </c:pt>
                <c:pt idx="8">
                  <c:v>71.972710180712596</c:v>
                </c:pt>
                <c:pt idx="9">
                  <c:v>80.987167935230431</c:v>
                </c:pt>
                <c:pt idx="10">
                  <c:v>101.83180895327111</c:v>
                </c:pt>
                <c:pt idx="11">
                  <c:v>115.40529991203373</c:v>
                </c:pt>
                <c:pt idx="12">
                  <c:v>125.10616253516446</c:v>
                </c:pt>
                <c:pt idx="13">
                  <c:v>127.22818294840292</c:v>
                </c:pt>
                <c:pt idx="14">
                  <c:v>121.89591774458225</c:v>
                </c:pt>
                <c:pt idx="15">
                  <c:v>105.4381251129896</c:v>
                </c:pt>
                <c:pt idx="16">
                  <c:v>90.095923240814329</c:v>
                </c:pt>
                <c:pt idx="17">
                  <c:v>66.582681129936731</c:v>
                </c:pt>
                <c:pt idx="18">
                  <c:v>43.032686563834844</c:v>
                </c:pt>
                <c:pt idx="19">
                  <c:v>22.143678839852271</c:v>
                </c:pt>
                <c:pt idx="20">
                  <c:v>5.7568511028725311</c:v>
                </c:pt>
                <c:pt idx="21">
                  <c:v>-1.0775012362841068</c:v>
                </c:pt>
                <c:pt idx="22">
                  <c:v>0.73764159872210655</c:v>
                </c:pt>
                <c:pt idx="23">
                  <c:v>9.1725683657213182</c:v>
                </c:pt>
                <c:pt idx="24">
                  <c:v>26.591729698731839</c:v>
                </c:pt>
                <c:pt idx="25">
                  <c:v>49.489612708603417</c:v>
                </c:pt>
                <c:pt idx="26">
                  <c:v>75.823441570647773</c:v>
                </c:pt>
                <c:pt idx="27">
                  <c:v>104.22746070897932</c:v>
                </c:pt>
                <c:pt idx="28">
                  <c:v>129.0360950402636</c:v>
                </c:pt>
                <c:pt idx="29">
                  <c:v>152.16105793982251</c:v>
                </c:pt>
                <c:pt idx="30">
                  <c:v>169.10959362308199</c:v>
                </c:pt>
                <c:pt idx="31">
                  <c:v>183.41146410270255</c:v>
                </c:pt>
                <c:pt idx="32">
                  <c:v>186.23056570527012</c:v>
                </c:pt>
              </c:numCache>
            </c:numRef>
          </c:val>
          <c:smooth val="0"/>
          <c:extLst>
            <c:ext xmlns:c16="http://schemas.microsoft.com/office/drawing/2014/chart" uri="{C3380CC4-5D6E-409C-BE32-E72D297353CC}">
              <c16:uniqueId val="{00000001-606E-4892-BAB6-BC47BC8DF70B}"/>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numFmt formatCode="#,##0.0;\(#,##0.0\);\-" sourceLinked="1"/>
        <c:majorTickMark val="none"/>
        <c:minorTickMark val="none"/>
        <c:tickLblPos val="nextTo"/>
        <c:crossAx val="10"/>
        <c:crosses val="autoZero"/>
        <c:crossBetween val="between"/>
      </c:valAx>
    </c:plotArea>
    <c:legend>
      <c:legendPos val="b"/>
      <c:overlay val="1"/>
    </c:legend>
    <c:plotVisOnly val="1"/>
    <c:dispBlanksAs val="gap"/>
    <c:showDLblsOverMax val="1"/>
  </c:chart>
  <c:txPr>
    <a:bodyPr/>
    <a:lstStyle/>
    <a:p>
      <a:pPr>
        <a:defRPr>
          <a:latin typeface="Trebuchet MS" panose="020B0603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Net worth: actual vs. never-forced-out ($mm)</a:t>
            </a:r>
          </a:p>
        </c:rich>
      </c:tx>
      <c:overlay val="1"/>
    </c:title>
    <c:autoTitleDeleted val="0"/>
    <c:plotArea>
      <c:layout/>
      <c:lineChart>
        <c:grouping val="standard"/>
        <c:varyColors val="1"/>
        <c:ser>
          <c:idx val="0"/>
          <c:order val="0"/>
          <c:tx>
            <c:strRef>
              <c:f>Case2C_Changing_SellToFund!$Z$26</c:f>
              <c:strCache>
                <c:ptCount val="1"/>
                <c:pt idx="0">
                  <c:v>Net worth (equity + reserve)</c:v>
                </c:pt>
              </c:strCache>
            </c:strRef>
          </c:tx>
          <c:spPr>
            <a:ln w="22000">
              <a:prstDash val="solid"/>
            </a:ln>
          </c:spPr>
          <c:marker>
            <c:symbol val="none"/>
          </c:marker>
          <c:cat>
            <c:numRef>
              <c:f>Case2C_Changing_SellToFund!$A$27:$A$59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Case2C_Changing_SellToFund!$Z$27:$Z$59</c:f>
              <c:numCache>
                <c:formatCode>#,##0.0;\(#,##0.0\);\-</c:formatCode>
                <c:ptCount val="33"/>
                <c:pt idx="0">
                  <c:v>110</c:v>
                </c:pt>
                <c:pt idx="1">
                  <c:v>103.58399999999999</c:v>
                </c:pt>
                <c:pt idx="2">
                  <c:v>93.88263000000002</c:v>
                </c:pt>
                <c:pt idx="3">
                  <c:v>85.834629161250021</c:v>
                </c:pt>
                <c:pt idx="4">
                  <c:v>74.477544103829715</c:v>
                </c:pt>
                <c:pt idx="5">
                  <c:v>63.923066127386534</c:v>
                </c:pt>
                <c:pt idx="6">
                  <c:v>59.063420727386536</c:v>
                </c:pt>
                <c:pt idx="7">
                  <c:v>60.507020727386511</c:v>
                </c:pt>
                <c:pt idx="8">
                  <c:v>72.385130727386496</c:v>
                </c:pt>
                <c:pt idx="9">
                  <c:v>81.581913477386507</c:v>
                </c:pt>
                <c:pt idx="10">
                  <c:v>102.60652294034276</c:v>
                </c:pt>
                <c:pt idx="11">
                  <c:v>116.34996140947038</c:v>
                </c:pt>
                <c:pt idx="12">
                  <c:v>126.21711039896468</c:v>
                </c:pt>
                <c:pt idx="13">
                  <c:v>128.50695288206782</c:v>
                </c:pt>
                <c:pt idx="14">
                  <c:v>123.34399417427744</c:v>
                </c:pt>
                <c:pt idx="15">
                  <c:v>107.07671954187509</c:v>
                </c:pt>
                <c:pt idx="16">
                  <c:v>91.947497012237278</c:v>
                </c:pt>
                <c:pt idx="17">
                  <c:v>68.674389110070706</c:v>
                </c:pt>
                <c:pt idx="18">
                  <c:v>36.971863127666936</c:v>
                </c:pt>
                <c:pt idx="19">
                  <c:v>23.268907671357077</c:v>
                </c:pt>
                <c:pt idx="20">
                  <c:v>15.815563317995419</c:v>
                </c:pt>
                <c:pt idx="21">
                  <c:v>13.98910017849648</c:v>
                </c:pt>
                <c:pt idx="22">
                  <c:v>15.00470885145533</c:v>
                </c:pt>
                <c:pt idx="23">
                  <c:v>17.745032846074992</c:v>
                </c:pt>
                <c:pt idx="24">
                  <c:v>22.817928494250069</c:v>
                </c:pt>
                <c:pt idx="25">
                  <c:v>29.310942231759476</c:v>
                </c:pt>
                <c:pt idx="26">
                  <c:v>36.691508085894952</c:v>
                </c:pt>
                <c:pt idx="27">
                  <c:v>44.604103432659052</c:v>
                </c:pt>
                <c:pt idx="28">
                  <c:v>51.580234861103492</c:v>
                </c:pt>
                <c:pt idx="29">
                  <c:v>58.116470148148188</c:v>
                </c:pt>
                <c:pt idx="30">
                  <c:v>63.052101938724256</c:v>
                </c:pt>
                <c:pt idx="31">
                  <c:v>67.306222075793926</c:v>
                </c:pt>
                <c:pt idx="32">
                  <c:v>68.596098667427043</c:v>
                </c:pt>
              </c:numCache>
            </c:numRef>
          </c:val>
          <c:smooth val="0"/>
          <c:extLst>
            <c:ext xmlns:c16="http://schemas.microsoft.com/office/drawing/2014/chart" uri="{C3380CC4-5D6E-409C-BE32-E72D297353CC}">
              <c16:uniqueId val="{00000000-1B1A-407B-BE14-FDC07B3C21F2}"/>
            </c:ext>
          </c:extLst>
        </c:ser>
        <c:ser>
          <c:idx val="1"/>
          <c:order val="1"/>
          <c:tx>
            <c:strRef>
              <c:f>Case2C_Changing_SellToFund!$AC$26</c:f>
              <c:strCache>
                <c:ptCount val="1"/>
                <c:pt idx="0">
                  <c:v>Shadow net worth (never forced out)</c:v>
                </c:pt>
              </c:strCache>
            </c:strRef>
          </c:tx>
          <c:spPr>
            <a:ln w="22000">
              <a:prstDash val="solid"/>
            </a:ln>
          </c:spPr>
          <c:marker>
            <c:symbol val="none"/>
          </c:marker>
          <c:cat>
            <c:numRef>
              <c:f>Case2C_Changing_SellToFund!$A$27:$A$59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Case2C_Changing_SellToFund!$AC$27:$AC$59</c:f>
              <c:numCache>
                <c:formatCode>#,##0.0;\(#,##0.0\);\-</c:formatCode>
                <c:ptCount val="33"/>
                <c:pt idx="0">
                  <c:v>110</c:v>
                </c:pt>
                <c:pt idx="1">
                  <c:v>103.58399999999999</c:v>
                </c:pt>
                <c:pt idx="2">
                  <c:v>93.88263000000002</c:v>
                </c:pt>
                <c:pt idx="3">
                  <c:v>85.834629161250021</c:v>
                </c:pt>
                <c:pt idx="4">
                  <c:v>74.477544103829715</c:v>
                </c:pt>
                <c:pt idx="5">
                  <c:v>63.923066127386534</c:v>
                </c:pt>
                <c:pt idx="6">
                  <c:v>59.002417780571193</c:v>
                </c:pt>
                <c:pt idx="7">
                  <c:v>60.27247822508545</c:v>
                </c:pt>
                <c:pt idx="8">
                  <c:v>71.972710180712596</c:v>
                </c:pt>
                <c:pt idx="9">
                  <c:v>80.987167935230431</c:v>
                </c:pt>
                <c:pt idx="10">
                  <c:v>101.83180895327111</c:v>
                </c:pt>
                <c:pt idx="11">
                  <c:v>115.40529991203373</c:v>
                </c:pt>
                <c:pt idx="12">
                  <c:v>125.10616253516446</c:v>
                </c:pt>
                <c:pt idx="13">
                  <c:v>127.22818294840292</c:v>
                </c:pt>
                <c:pt idx="14">
                  <c:v>121.89591774458225</c:v>
                </c:pt>
                <c:pt idx="15">
                  <c:v>105.4381251129896</c:v>
                </c:pt>
                <c:pt idx="16">
                  <c:v>90.095923240814329</c:v>
                </c:pt>
                <c:pt idx="17">
                  <c:v>66.582681129936731</c:v>
                </c:pt>
                <c:pt idx="18">
                  <c:v>43.032686563834844</c:v>
                </c:pt>
                <c:pt idx="19">
                  <c:v>22.143678839852271</c:v>
                </c:pt>
                <c:pt idx="20">
                  <c:v>5.7568511028725311</c:v>
                </c:pt>
                <c:pt idx="21">
                  <c:v>-1.0775012362841068</c:v>
                </c:pt>
                <c:pt idx="22">
                  <c:v>0.73764159872210655</c:v>
                </c:pt>
                <c:pt idx="23">
                  <c:v>9.1725683657213182</c:v>
                </c:pt>
                <c:pt idx="24">
                  <c:v>26.591729698731839</c:v>
                </c:pt>
                <c:pt idx="25">
                  <c:v>49.489612708603417</c:v>
                </c:pt>
                <c:pt idx="26">
                  <c:v>75.823441570647773</c:v>
                </c:pt>
                <c:pt idx="27">
                  <c:v>104.22746070897932</c:v>
                </c:pt>
                <c:pt idx="28">
                  <c:v>129.0360950402636</c:v>
                </c:pt>
                <c:pt idx="29">
                  <c:v>152.16105793982251</c:v>
                </c:pt>
                <c:pt idx="30">
                  <c:v>169.10959362308199</c:v>
                </c:pt>
                <c:pt idx="31">
                  <c:v>183.41146410270255</c:v>
                </c:pt>
                <c:pt idx="32">
                  <c:v>186.23056570527012</c:v>
                </c:pt>
              </c:numCache>
            </c:numRef>
          </c:val>
          <c:smooth val="0"/>
          <c:extLst>
            <c:ext xmlns:c16="http://schemas.microsoft.com/office/drawing/2014/chart" uri="{C3380CC4-5D6E-409C-BE32-E72D297353CC}">
              <c16:uniqueId val="{00000001-1B1A-407B-BE14-FDC07B3C21F2}"/>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numFmt formatCode="#,##0.0;\(#,##0.0\);\-" sourceLinked="1"/>
        <c:majorTickMark val="none"/>
        <c:minorTickMark val="none"/>
        <c:tickLblPos val="nextTo"/>
        <c:crossAx val="10"/>
        <c:crosses val="autoZero"/>
        <c:crossBetween val="between"/>
      </c:valAx>
    </c:plotArea>
    <c:legend>
      <c:legendPos val="b"/>
      <c:overlay val="1"/>
    </c:legend>
    <c:plotVisOnly val="1"/>
    <c:dispBlanksAs val="gap"/>
    <c:showDLblsOverMax val="1"/>
  </c:chart>
  <c:txPr>
    <a:bodyPr/>
    <a:lstStyle/>
    <a:p>
      <a:pPr>
        <a:defRPr>
          <a:latin typeface="Trebuchet MS" panose="020B0603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Driver (index)</a:t>
            </a:r>
          </a:p>
        </c:rich>
      </c:tx>
      <c:overlay val="1"/>
    </c:title>
    <c:autoTitleDeleted val="0"/>
    <c:plotArea>
      <c:layout/>
      <c:lineChart>
        <c:grouping val="standard"/>
        <c:varyColors val="1"/>
        <c:ser>
          <c:idx val="0"/>
          <c:order val="0"/>
          <c:tx>
            <c:v>Case 1: Calm</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Case1_Calm!$C$27:$C$59</c:f>
              <c:numCache>
                <c:formatCode>#,##0.0</c:formatCode>
                <c:ptCount val="33"/>
                <c:pt idx="0">
                  <c:v>100</c:v>
                </c:pt>
                <c:pt idx="1">
                  <c:v>102.7</c:v>
                </c:pt>
                <c:pt idx="2">
                  <c:v>102.62</c:v>
                </c:pt>
                <c:pt idx="3">
                  <c:v>105.1</c:v>
                </c:pt>
                <c:pt idx="4">
                  <c:v>106.9</c:v>
                </c:pt>
                <c:pt idx="5">
                  <c:v>108.95</c:v>
                </c:pt>
                <c:pt idx="6">
                  <c:v>109.45</c:v>
                </c:pt>
                <c:pt idx="7">
                  <c:v>111.91</c:v>
                </c:pt>
                <c:pt idx="8">
                  <c:v>111.68</c:v>
                </c:pt>
                <c:pt idx="9">
                  <c:v>116.71</c:v>
                </c:pt>
                <c:pt idx="10">
                  <c:v>116.68</c:v>
                </c:pt>
                <c:pt idx="11">
                  <c:v>119.16</c:v>
                </c:pt>
                <c:pt idx="12">
                  <c:v>120.04</c:v>
                </c:pt>
                <c:pt idx="13">
                  <c:v>123.16</c:v>
                </c:pt>
                <c:pt idx="14">
                  <c:v>124.46</c:v>
                </c:pt>
                <c:pt idx="15">
                  <c:v>126.01</c:v>
                </c:pt>
                <c:pt idx="16">
                  <c:v>127.07</c:v>
                </c:pt>
                <c:pt idx="17">
                  <c:v>130.88</c:v>
                </c:pt>
                <c:pt idx="18">
                  <c:v>131.81</c:v>
                </c:pt>
                <c:pt idx="19">
                  <c:v>135.04</c:v>
                </c:pt>
                <c:pt idx="20">
                  <c:v>136.72999999999999</c:v>
                </c:pt>
                <c:pt idx="21">
                  <c:v>139.27000000000001</c:v>
                </c:pt>
                <c:pt idx="22">
                  <c:v>140.16999999999999</c:v>
                </c:pt>
                <c:pt idx="23">
                  <c:v>143.07</c:v>
                </c:pt>
                <c:pt idx="24">
                  <c:v>145.57</c:v>
                </c:pt>
                <c:pt idx="25">
                  <c:v>148.59</c:v>
                </c:pt>
                <c:pt idx="26">
                  <c:v>150.16999999999999</c:v>
                </c:pt>
                <c:pt idx="27">
                  <c:v>152.44999999999999</c:v>
                </c:pt>
                <c:pt idx="28">
                  <c:v>154.66</c:v>
                </c:pt>
                <c:pt idx="29">
                  <c:v>157.25</c:v>
                </c:pt>
                <c:pt idx="30">
                  <c:v>159.87</c:v>
                </c:pt>
                <c:pt idx="31">
                  <c:v>162.44999999999999</c:v>
                </c:pt>
                <c:pt idx="32">
                  <c:v>165</c:v>
                </c:pt>
              </c:numCache>
            </c:numRef>
          </c:val>
          <c:smooth val="0"/>
          <c:extLst>
            <c:ext xmlns:c16="http://schemas.microsoft.com/office/drawing/2014/chart" uri="{C3380CC4-5D6E-409C-BE32-E72D297353CC}">
              <c16:uniqueId val="{00000000-D7B5-4245-9F12-B25217996E03}"/>
            </c:ext>
          </c:extLst>
        </c:ser>
        <c:ser>
          <c:idx val="1"/>
          <c:order val="1"/>
          <c:tx>
            <c:v>Case 2A: constant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Case2A_Ruin_ConstRates!$C$27:$C$59</c:f>
              <c:numCache>
                <c:formatCode>#,##0.0</c:formatCode>
                <c:ptCount val="33"/>
                <c:pt idx="0">
                  <c:v>100</c:v>
                </c:pt>
                <c:pt idx="1">
                  <c:v>99.17</c:v>
                </c:pt>
                <c:pt idx="2">
                  <c:v>91.35</c:v>
                </c:pt>
                <c:pt idx="3">
                  <c:v>84.02</c:v>
                </c:pt>
                <c:pt idx="4">
                  <c:v>73.680000000000007</c:v>
                </c:pt>
                <c:pt idx="5">
                  <c:v>65.319999999999993</c:v>
                </c:pt>
                <c:pt idx="6">
                  <c:v>56.69</c:v>
                </c:pt>
                <c:pt idx="7">
                  <c:v>52.67</c:v>
                </c:pt>
                <c:pt idx="8">
                  <c:v>50</c:v>
                </c:pt>
                <c:pt idx="9">
                  <c:v>51.38</c:v>
                </c:pt>
                <c:pt idx="10">
                  <c:v>52.84</c:v>
                </c:pt>
                <c:pt idx="11">
                  <c:v>54.45</c:v>
                </c:pt>
                <c:pt idx="12">
                  <c:v>57.14</c:v>
                </c:pt>
                <c:pt idx="13">
                  <c:v>62.14</c:v>
                </c:pt>
                <c:pt idx="14">
                  <c:v>65.930000000000007</c:v>
                </c:pt>
                <c:pt idx="15">
                  <c:v>72.48</c:v>
                </c:pt>
                <c:pt idx="16">
                  <c:v>80.47</c:v>
                </c:pt>
                <c:pt idx="17">
                  <c:v>86.1</c:v>
                </c:pt>
                <c:pt idx="18">
                  <c:v>91.32</c:v>
                </c:pt>
                <c:pt idx="19">
                  <c:v>98.06</c:v>
                </c:pt>
                <c:pt idx="20">
                  <c:v>105.7</c:v>
                </c:pt>
                <c:pt idx="21">
                  <c:v>113.95</c:v>
                </c:pt>
                <c:pt idx="22">
                  <c:v>120.84</c:v>
                </c:pt>
                <c:pt idx="23">
                  <c:v>129.63</c:v>
                </c:pt>
                <c:pt idx="24">
                  <c:v>134.83000000000001</c:v>
                </c:pt>
                <c:pt idx="25">
                  <c:v>142.03</c:v>
                </c:pt>
                <c:pt idx="26">
                  <c:v>145.31</c:v>
                </c:pt>
                <c:pt idx="27">
                  <c:v>150.47999999999999</c:v>
                </c:pt>
                <c:pt idx="28">
                  <c:v>156.65</c:v>
                </c:pt>
                <c:pt idx="29">
                  <c:v>161.62</c:v>
                </c:pt>
                <c:pt idx="30">
                  <c:v>162.86000000000001</c:v>
                </c:pt>
                <c:pt idx="31">
                  <c:v>166.89</c:v>
                </c:pt>
                <c:pt idx="32">
                  <c:v>165</c:v>
                </c:pt>
              </c:numCache>
            </c:numRef>
          </c:val>
          <c:smooth val="0"/>
          <c:extLst>
            <c:ext xmlns:c16="http://schemas.microsoft.com/office/drawing/2014/chart" uri="{C3380CC4-5D6E-409C-BE32-E72D297353CC}">
              <c16:uniqueId val="{00000001-D7B5-4245-9F12-B25217996E03}"/>
            </c:ext>
          </c:extLst>
        </c:ser>
        <c:ser>
          <c:idx val="2"/>
          <c:order val="2"/>
          <c:tx>
            <c:v>Case 2B: changing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Case2B_Ruin_ChangingRates!$C$27:$C$59</c:f>
              <c:numCache>
                <c:formatCode>#,##0.0</c:formatCode>
                <c:ptCount val="33"/>
                <c:pt idx="0">
                  <c:v>100</c:v>
                </c:pt>
                <c:pt idx="1">
                  <c:v>96.63</c:v>
                </c:pt>
                <c:pt idx="2">
                  <c:v>91.52</c:v>
                </c:pt>
                <c:pt idx="3">
                  <c:v>87.39</c:v>
                </c:pt>
                <c:pt idx="4">
                  <c:v>81.5</c:v>
                </c:pt>
                <c:pt idx="5">
                  <c:v>76.150000000000006</c:v>
                </c:pt>
                <c:pt idx="6">
                  <c:v>74</c:v>
                </c:pt>
                <c:pt idx="7">
                  <c:v>75.319999999999993</c:v>
                </c:pt>
                <c:pt idx="8">
                  <c:v>82.44</c:v>
                </c:pt>
                <c:pt idx="9">
                  <c:v>88.03</c:v>
                </c:pt>
                <c:pt idx="10">
                  <c:v>100.12</c:v>
                </c:pt>
                <c:pt idx="11">
                  <c:v>108</c:v>
                </c:pt>
                <c:pt idx="12">
                  <c:v>113.63</c:v>
                </c:pt>
                <c:pt idx="13">
                  <c:v>115</c:v>
                </c:pt>
                <c:pt idx="14">
                  <c:v>112.21</c:v>
                </c:pt>
                <c:pt idx="15">
                  <c:v>103.37</c:v>
                </c:pt>
                <c:pt idx="16">
                  <c:v>95.33</c:v>
                </c:pt>
                <c:pt idx="17">
                  <c:v>82.95</c:v>
                </c:pt>
                <c:pt idx="18">
                  <c:v>70.790000000000006</c:v>
                </c:pt>
                <c:pt idx="19">
                  <c:v>60.26</c:v>
                </c:pt>
                <c:pt idx="20">
                  <c:v>52.41</c:v>
                </c:pt>
                <c:pt idx="21">
                  <c:v>50</c:v>
                </c:pt>
                <c:pt idx="22">
                  <c:v>52.45</c:v>
                </c:pt>
                <c:pt idx="23">
                  <c:v>58.58</c:v>
                </c:pt>
                <c:pt idx="24">
                  <c:v>69.66</c:v>
                </c:pt>
                <c:pt idx="25">
                  <c:v>83.69</c:v>
                </c:pt>
                <c:pt idx="26">
                  <c:v>99.5</c:v>
                </c:pt>
                <c:pt idx="27">
                  <c:v>116.31</c:v>
                </c:pt>
                <c:pt idx="28">
                  <c:v>130.96</c:v>
                </c:pt>
                <c:pt idx="29">
                  <c:v>144.53</c:v>
                </c:pt>
                <c:pt idx="30">
                  <c:v>154.54</c:v>
                </c:pt>
                <c:pt idx="31">
                  <c:v>162.99</c:v>
                </c:pt>
                <c:pt idx="32">
                  <c:v>165</c:v>
                </c:pt>
              </c:numCache>
            </c:numRef>
          </c:val>
          <c:smooth val="0"/>
          <c:extLst>
            <c:ext xmlns:c16="http://schemas.microsoft.com/office/drawing/2014/chart" uri="{C3380CC4-5D6E-409C-BE32-E72D297353CC}">
              <c16:uniqueId val="{00000002-D7B5-4245-9F12-B25217996E03}"/>
            </c:ext>
          </c:extLst>
        </c:ser>
        <c:ser>
          <c:idx val="3"/>
          <c:order val="3"/>
          <c:tx>
            <c:v>Case 2C: sell to fund</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Case2C_Changing_SellToFund!$C$27:$C$59</c:f>
              <c:numCache>
                <c:formatCode>#,##0.0</c:formatCode>
                <c:ptCount val="33"/>
                <c:pt idx="0">
                  <c:v>100</c:v>
                </c:pt>
                <c:pt idx="1">
                  <c:v>96.63</c:v>
                </c:pt>
                <c:pt idx="2">
                  <c:v>91.52</c:v>
                </c:pt>
                <c:pt idx="3">
                  <c:v>87.39</c:v>
                </c:pt>
                <c:pt idx="4">
                  <c:v>81.5</c:v>
                </c:pt>
                <c:pt idx="5">
                  <c:v>76.150000000000006</c:v>
                </c:pt>
                <c:pt idx="6">
                  <c:v>74</c:v>
                </c:pt>
                <c:pt idx="7">
                  <c:v>75.319999999999993</c:v>
                </c:pt>
                <c:pt idx="8">
                  <c:v>82.44</c:v>
                </c:pt>
                <c:pt idx="9">
                  <c:v>88.03</c:v>
                </c:pt>
                <c:pt idx="10">
                  <c:v>100.12</c:v>
                </c:pt>
                <c:pt idx="11">
                  <c:v>108</c:v>
                </c:pt>
                <c:pt idx="12">
                  <c:v>113.63</c:v>
                </c:pt>
                <c:pt idx="13">
                  <c:v>115</c:v>
                </c:pt>
                <c:pt idx="14">
                  <c:v>112.21</c:v>
                </c:pt>
                <c:pt idx="15">
                  <c:v>103.37</c:v>
                </c:pt>
                <c:pt idx="16">
                  <c:v>95.33</c:v>
                </c:pt>
                <c:pt idx="17">
                  <c:v>82.95</c:v>
                </c:pt>
                <c:pt idx="18">
                  <c:v>70.790000000000006</c:v>
                </c:pt>
                <c:pt idx="19">
                  <c:v>60.26</c:v>
                </c:pt>
                <c:pt idx="20">
                  <c:v>52.41</c:v>
                </c:pt>
                <c:pt idx="21">
                  <c:v>50</c:v>
                </c:pt>
                <c:pt idx="22">
                  <c:v>52.45</c:v>
                </c:pt>
                <c:pt idx="23">
                  <c:v>58.58</c:v>
                </c:pt>
                <c:pt idx="24">
                  <c:v>69.66</c:v>
                </c:pt>
                <c:pt idx="25">
                  <c:v>83.69</c:v>
                </c:pt>
                <c:pt idx="26">
                  <c:v>99.5</c:v>
                </c:pt>
                <c:pt idx="27">
                  <c:v>116.31</c:v>
                </c:pt>
                <c:pt idx="28">
                  <c:v>130.96</c:v>
                </c:pt>
                <c:pt idx="29">
                  <c:v>144.53</c:v>
                </c:pt>
                <c:pt idx="30">
                  <c:v>154.54</c:v>
                </c:pt>
                <c:pt idx="31">
                  <c:v>162.99</c:v>
                </c:pt>
                <c:pt idx="32">
                  <c:v>165</c:v>
                </c:pt>
              </c:numCache>
            </c:numRef>
          </c:val>
          <c:smooth val="0"/>
          <c:extLst>
            <c:ext xmlns:c16="http://schemas.microsoft.com/office/drawing/2014/chart" uri="{C3380CC4-5D6E-409C-BE32-E72D297353CC}">
              <c16:uniqueId val="{00000003-D7B5-4245-9F12-B25217996E03}"/>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numFmt formatCode="#,##0.0" sourceLinked="1"/>
        <c:majorTickMark val="none"/>
        <c:minorTickMark val="none"/>
        <c:tickLblPos val="nextTo"/>
        <c:crossAx val="10"/>
        <c:crosses val="autoZero"/>
        <c:crossBetween val="between"/>
      </c:valAx>
    </c:plotArea>
    <c:legend>
      <c:legendPos val="b"/>
      <c:layout>
        <c:manualLayout>
          <c:xMode val="edge"/>
          <c:yMode val="edge"/>
          <c:x val="0.18847240740740739"/>
          <c:y val="0.7200368055555556"/>
          <c:w val="0.70066629629629629"/>
          <c:h val="0.14767152777777778"/>
        </c:manualLayout>
      </c:layout>
      <c:overlay val="1"/>
    </c:legend>
    <c:plotVisOnly val="1"/>
    <c:dispBlanksAs val="gap"/>
    <c:showDLblsOverMax val="1"/>
  </c:chart>
  <c:txPr>
    <a:bodyPr/>
    <a:lstStyle/>
    <a:p>
      <a:pPr>
        <a:defRPr>
          <a:latin typeface="Trebuchet MS" panose="020B0603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Margin rate (% of position)</a:t>
            </a:r>
          </a:p>
        </c:rich>
      </c:tx>
      <c:overlay val="1"/>
    </c:title>
    <c:autoTitleDeleted val="0"/>
    <c:plotArea>
      <c:layout/>
      <c:lineChart>
        <c:grouping val="standard"/>
        <c:varyColors val="1"/>
        <c:ser>
          <c:idx val="0"/>
          <c:order val="0"/>
          <c:tx>
            <c:v>Case 1: Calm</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Case1_Calm!$D$27:$D$59</c:f>
              <c:numCache>
                <c:formatCode>0.00%;\(0.00%\);\-</c:formatCode>
                <c:ptCount val="33"/>
                <c:pt idx="0">
                  <c:v>0.3</c:v>
                </c:pt>
                <c:pt idx="1">
                  <c:v>0.3</c:v>
                </c:pt>
                <c:pt idx="2">
                  <c:v>0.3</c:v>
                </c:pt>
                <c:pt idx="3">
                  <c:v>0.3</c:v>
                </c:pt>
                <c:pt idx="4">
                  <c:v>0.3</c:v>
                </c:pt>
                <c:pt idx="5">
                  <c:v>0.3</c:v>
                </c:pt>
                <c:pt idx="6">
                  <c:v>0.3</c:v>
                </c:pt>
                <c:pt idx="7">
                  <c:v>0.3</c:v>
                </c:pt>
                <c:pt idx="8">
                  <c:v>0.3</c:v>
                </c:pt>
                <c:pt idx="9">
                  <c:v>0.3</c:v>
                </c:pt>
                <c:pt idx="10">
                  <c:v>0.3</c:v>
                </c:pt>
                <c:pt idx="11">
                  <c:v>0.3</c:v>
                </c:pt>
                <c:pt idx="12">
                  <c:v>0.3</c:v>
                </c:pt>
                <c:pt idx="13">
                  <c:v>0.3</c:v>
                </c:pt>
                <c:pt idx="14">
                  <c:v>0.3</c:v>
                </c:pt>
                <c:pt idx="15">
                  <c:v>0.3</c:v>
                </c:pt>
                <c:pt idx="16">
                  <c:v>0.3</c:v>
                </c:pt>
                <c:pt idx="17">
                  <c:v>0.3</c:v>
                </c:pt>
                <c:pt idx="18">
                  <c:v>0.3</c:v>
                </c:pt>
                <c:pt idx="19">
                  <c:v>0.3</c:v>
                </c:pt>
                <c:pt idx="20">
                  <c:v>0.3</c:v>
                </c:pt>
                <c:pt idx="21">
                  <c:v>0.3</c:v>
                </c:pt>
                <c:pt idx="22">
                  <c:v>0.3</c:v>
                </c:pt>
                <c:pt idx="23">
                  <c:v>0.3</c:v>
                </c:pt>
                <c:pt idx="24">
                  <c:v>0.3</c:v>
                </c:pt>
                <c:pt idx="25">
                  <c:v>0.3</c:v>
                </c:pt>
                <c:pt idx="26">
                  <c:v>0.3</c:v>
                </c:pt>
                <c:pt idx="27">
                  <c:v>0.3</c:v>
                </c:pt>
                <c:pt idx="28">
                  <c:v>0.3</c:v>
                </c:pt>
                <c:pt idx="29">
                  <c:v>0.3</c:v>
                </c:pt>
                <c:pt idx="30">
                  <c:v>0.3</c:v>
                </c:pt>
                <c:pt idx="31">
                  <c:v>0.3</c:v>
                </c:pt>
                <c:pt idx="32">
                  <c:v>0.3</c:v>
                </c:pt>
              </c:numCache>
            </c:numRef>
          </c:val>
          <c:smooth val="0"/>
          <c:extLst>
            <c:ext xmlns:c16="http://schemas.microsoft.com/office/drawing/2014/chart" uri="{C3380CC4-5D6E-409C-BE32-E72D297353CC}">
              <c16:uniqueId val="{00000000-A4B2-4ED8-ACE7-C3EAC567E804}"/>
            </c:ext>
          </c:extLst>
        </c:ser>
        <c:ser>
          <c:idx val="1"/>
          <c:order val="1"/>
          <c:tx>
            <c:v>Case 2A: constant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Case2A_Ruin_ConstRates!$D$27:$D$59</c:f>
              <c:numCache>
                <c:formatCode>0.00%;\(0.00%\);\-</c:formatCode>
                <c:ptCount val="33"/>
                <c:pt idx="0">
                  <c:v>0.3</c:v>
                </c:pt>
                <c:pt idx="1">
                  <c:v>0.3</c:v>
                </c:pt>
                <c:pt idx="2">
                  <c:v>0.3</c:v>
                </c:pt>
                <c:pt idx="3">
                  <c:v>0.3</c:v>
                </c:pt>
                <c:pt idx="4">
                  <c:v>0.3</c:v>
                </c:pt>
                <c:pt idx="5">
                  <c:v>0.3</c:v>
                </c:pt>
                <c:pt idx="6">
                  <c:v>0.3</c:v>
                </c:pt>
                <c:pt idx="7">
                  <c:v>0.3</c:v>
                </c:pt>
                <c:pt idx="8">
                  <c:v>0.3</c:v>
                </c:pt>
                <c:pt idx="9">
                  <c:v>0.3</c:v>
                </c:pt>
                <c:pt idx="10">
                  <c:v>0.3</c:v>
                </c:pt>
                <c:pt idx="11">
                  <c:v>0.3</c:v>
                </c:pt>
                <c:pt idx="12">
                  <c:v>0.3</c:v>
                </c:pt>
                <c:pt idx="13">
                  <c:v>0.3</c:v>
                </c:pt>
                <c:pt idx="14">
                  <c:v>0.3</c:v>
                </c:pt>
                <c:pt idx="15">
                  <c:v>0.3</c:v>
                </c:pt>
                <c:pt idx="16">
                  <c:v>0.3</c:v>
                </c:pt>
                <c:pt idx="17">
                  <c:v>0.3</c:v>
                </c:pt>
                <c:pt idx="18">
                  <c:v>0.3</c:v>
                </c:pt>
                <c:pt idx="19">
                  <c:v>0.3</c:v>
                </c:pt>
                <c:pt idx="20">
                  <c:v>0.3</c:v>
                </c:pt>
                <c:pt idx="21">
                  <c:v>0.3</c:v>
                </c:pt>
                <c:pt idx="22">
                  <c:v>0.3</c:v>
                </c:pt>
                <c:pt idx="23">
                  <c:v>0.3</c:v>
                </c:pt>
                <c:pt idx="24">
                  <c:v>0.3</c:v>
                </c:pt>
                <c:pt idx="25">
                  <c:v>0.3</c:v>
                </c:pt>
                <c:pt idx="26">
                  <c:v>0.3</c:v>
                </c:pt>
                <c:pt idx="27">
                  <c:v>0.3</c:v>
                </c:pt>
                <c:pt idx="28">
                  <c:v>0.3</c:v>
                </c:pt>
                <c:pt idx="29">
                  <c:v>0.3</c:v>
                </c:pt>
                <c:pt idx="30">
                  <c:v>0.3</c:v>
                </c:pt>
                <c:pt idx="31">
                  <c:v>0.3</c:v>
                </c:pt>
                <c:pt idx="32">
                  <c:v>0.3</c:v>
                </c:pt>
              </c:numCache>
            </c:numRef>
          </c:val>
          <c:smooth val="0"/>
          <c:extLst>
            <c:ext xmlns:c16="http://schemas.microsoft.com/office/drawing/2014/chart" uri="{C3380CC4-5D6E-409C-BE32-E72D297353CC}">
              <c16:uniqueId val="{00000001-A4B2-4ED8-ACE7-C3EAC567E804}"/>
            </c:ext>
          </c:extLst>
        </c:ser>
        <c:ser>
          <c:idx val="2"/>
          <c:order val="2"/>
          <c:tx>
            <c:v>Case 2B: changing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Case2B_Ruin_ChangingRates!$D$27:$D$59</c:f>
              <c:numCache>
                <c:formatCode>0.00%;\(0.00%\);\-</c:formatCode>
                <c:ptCount val="33"/>
                <c:pt idx="0">
                  <c:v>0.3</c:v>
                </c:pt>
                <c:pt idx="1">
                  <c:v>0.33</c:v>
                </c:pt>
                <c:pt idx="2">
                  <c:v>0.36</c:v>
                </c:pt>
                <c:pt idx="3">
                  <c:v>0.36880000000000002</c:v>
                </c:pt>
                <c:pt idx="4">
                  <c:v>0.39</c:v>
                </c:pt>
                <c:pt idx="5">
                  <c:v>0.41120000000000001</c:v>
                </c:pt>
                <c:pt idx="6">
                  <c:v>0.42</c:v>
                </c:pt>
                <c:pt idx="7">
                  <c:v>0.42</c:v>
                </c:pt>
                <c:pt idx="8">
                  <c:v>0.42</c:v>
                </c:pt>
                <c:pt idx="9">
                  <c:v>0.42</c:v>
                </c:pt>
                <c:pt idx="10">
                  <c:v>0.39250000000000002</c:v>
                </c:pt>
                <c:pt idx="11">
                  <c:v>0.33750000000000002</c:v>
                </c:pt>
                <c:pt idx="12">
                  <c:v>0.31</c:v>
                </c:pt>
                <c:pt idx="13">
                  <c:v>0.30499999999999999</c:v>
                </c:pt>
                <c:pt idx="14">
                  <c:v>0.3</c:v>
                </c:pt>
                <c:pt idx="15">
                  <c:v>0.33500000000000002</c:v>
                </c:pt>
                <c:pt idx="16">
                  <c:v>0.37</c:v>
                </c:pt>
                <c:pt idx="17">
                  <c:v>0.44500000000000001</c:v>
                </c:pt>
                <c:pt idx="18">
                  <c:v>0.52</c:v>
                </c:pt>
                <c:pt idx="19">
                  <c:v>0.54</c:v>
                </c:pt>
                <c:pt idx="20">
                  <c:v>0.57999999999999996</c:v>
                </c:pt>
                <c:pt idx="21">
                  <c:v>0.6</c:v>
                </c:pt>
                <c:pt idx="22">
                  <c:v>0.59699999999999998</c:v>
                </c:pt>
                <c:pt idx="23">
                  <c:v>0.58809999999999996</c:v>
                </c:pt>
                <c:pt idx="24">
                  <c:v>0.57410000000000005</c:v>
                </c:pt>
                <c:pt idx="25">
                  <c:v>0.55620000000000003</c:v>
                </c:pt>
                <c:pt idx="26">
                  <c:v>0.53569999999999995</c:v>
                </c:pt>
                <c:pt idx="27">
                  <c:v>0.51429999999999998</c:v>
                </c:pt>
                <c:pt idx="28">
                  <c:v>0.49380000000000002</c:v>
                </c:pt>
                <c:pt idx="29">
                  <c:v>0.47589999999999999</c:v>
                </c:pt>
                <c:pt idx="30">
                  <c:v>0.46189999999999998</c:v>
                </c:pt>
                <c:pt idx="31">
                  <c:v>0.45300000000000001</c:v>
                </c:pt>
                <c:pt idx="32">
                  <c:v>0.45</c:v>
                </c:pt>
              </c:numCache>
            </c:numRef>
          </c:val>
          <c:smooth val="0"/>
          <c:extLst>
            <c:ext xmlns:c16="http://schemas.microsoft.com/office/drawing/2014/chart" uri="{C3380CC4-5D6E-409C-BE32-E72D297353CC}">
              <c16:uniqueId val="{00000002-A4B2-4ED8-ACE7-C3EAC567E804}"/>
            </c:ext>
          </c:extLst>
        </c:ser>
        <c:ser>
          <c:idx val="3"/>
          <c:order val="3"/>
          <c:tx>
            <c:v>Case 2C: sell to fund</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Case2C_Changing_SellToFund!$D$27:$D$59</c:f>
              <c:numCache>
                <c:formatCode>0.00%;\(0.00%\);\-</c:formatCode>
                <c:ptCount val="33"/>
                <c:pt idx="0">
                  <c:v>0.3</c:v>
                </c:pt>
                <c:pt idx="1">
                  <c:v>0.33</c:v>
                </c:pt>
                <c:pt idx="2">
                  <c:v>0.36</c:v>
                </c:pt>
                <c:pt idx="3">
                  <c:v>0.36880000000000002</c:v>
                </c:pt>
                <c:pt idx="4">
                  <c:v>0.39</c:v>
                </c:pt>
                <c:pt idx="5">
                  <c:v>0.41120000000000001</c:v>
                </c:pt>
                <c:pt idx="6">
                  <c:v>0.42</c:v>
                </c:pt>
                <c:pt idx="7">
                  <c:v>0.42</c:v>
                </c:pt>
                <c:pt idx="8">
                  <c:v>0.42</c:v>
                </c:pt>
                <c:pt idx="9">
                  <c:v>0.42</c:v>
                </c:pt>
                <c:pt idx="10">
                  <c:v>0.39250000000000002</c:v>
                </c:pt>
                <c:pt idx="11">
                  <c:v>0.33750000000000002</c:v>
                </c:pt>
                <c:pt idx="12">
                  <c:v>0.31</c:v>
                </c:pt>
                <c:pt idx="13">
                  <c:v>0.30499999999999999</c:v>
                </c:pt>
                <c:pt idx="14">
                  <c:v>0.3</c:v>
                </c:pt>
                <c:pt idx="15">
                  <c:v>0.33500000000000002</c:v>
                </c:pt>
                <c:pt idx="16">
                  <c:v>0.37</c:v>
                </c:pt>
                <c:pt idx="17">
                  <c:v>0.44500000000000001</c:v>
                </c:pt>
                <c:pt idx="18">
                  <c:v>0.52</c:v>
                </c:pt>
                <c:pt idx="19">
                  <c:v>0.54</c:v>
                </c:pt>
                <c:pt idx="20">
                  <c:v>0.57999999999999996</c:v>
                </c:pt>
                <c:pt idx="21">
                  <c:v>0.6</c:v>
                </c:pt>
                <c:pt idx="22">
                  <c:v>0.59699999999999998</c:v>
                </c:pt>
                <c:pt idx="23">
                  <c:v>0.58809999999999996</c:v>
                </c:pt>
                <c:pt idx="24">
                  <c:v>0.57410000000000005</c:v>
                </c:pt>
                <c:pt idx="25">
                  <c:v>0.55620000000000003</c:v>
                </c:pt>
                <c:pt idx="26">
                  <c:v>0.53569999999999995</c:v>
                </c:pt>
                <c:pt idx="27">
                  <c:v>0.51429999999999998</c:v>
                </c:pt>
                <c:pt idx="28">
                  <c:v>0.49380000000000002</c:v>
                </c:pt>
                <c:pt idx="29">
                  <c:v>0.47589999999999999</c:v>
                </c:pt>
                <c:pt idx="30">
                  <c:v>0.46189999999999998</c:v>
                </c:pt>
                <c:pt idx="31">
                  <c:v>0.45300000000000001</c:v>
                </c:pt>
                <c:pt idx="32">
                  <c:v>0.45</c:v>
                </c:pt>
              </c:numCache>
            </c:numRef>
          </c:val>
          <c:smooth val="0"/>
          <c:extLst>
            <c:ext xmlns:c16="http://schemas.microsoft.com/office/drawing/2014/chart" uri="{C3380CC4-5D6E-409C-BE32-E72D297353CC}">
              <c16:uniqueId val="{00000003-A4B2-4ED8-ACE7-C3EAC567E804}"/>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numFmt formatCode="0.00%;\(0.00%\);\-" sourceLinked="1"/>
        <c:majorTickMark val="none"/>
        <c:minorTickMark val="none"/>
        <c:tickLblPos val="nextTo"/>
        <c:crossAx val="10"/>
        <c:crosses val="autoZero"/>
        <c:crossBetween val="between"/>
      </c:valAx>
    </c:plotArea>
    <c:legend>
      <c:legendPos val="b"/>
      <c:layout>
        <c:manualLayout>
          <c:xMode val="edge"/>
          <c:yMode val="edge"/>
          <c:x val="0.19082425925925925"/>
          <c:y val="0.70680763888888876"/>
          <c:w val="0.74299962962962962"/>
          <c:h val="0.13885208333333335"/>
        </c:manualLayout>
      </c:layout>
      <c:overlay val="1"/>
    </c:legend>
    <c:plotVisOnly val="1"/>
    <c:dispBlanksAs val="gap"/>
    <c:showDLblsOverMax val="1"/>
  </c:chart>
  <c:txPr>
    <a:bodyPr/>
    <a:lstStyle/>
    <a:p>
      <a:pPr>
        <a:defRPr>
          <a:latin typeface="Trebuchet MS" panose="020B0603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Loan interest rate p.a.</a:t>
            </a:r>
          </a:p>
        </c:rich>
      </c:tx>
      <c:overlay val="1"/>
    </c:title>
    <c:autoTitleDeleted val="0"/>
    <c:plotArea>
      <c:layout/>
      <c:lineChart>
        <c:grouping val="standard"/>
        <c:varyColors val="1"/>
        <c:ser>
          <c:idx val="0"/>
          <c:order val="0"/>
          <c:tx>
            <c:v>Case 1: Calm</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Case1_Calm!$E$27:$E$59</c:f>
              <c:numCache>
                <c:formatCode>0.00%;\(0.00%\);\-</c:formatCode>
                <c:ptCount val="33"/>
                <c:pt idx="0">
                  <c:v>0.08</c:v>
                </c:pt>
                <c:pt idx="1">
                  <c:v>0.08</c:v>
                </c:pt>
                <c:pt idx="2">
                  <c:v>0.08</c:v>
                </c:pt>
                <c:pt idx="3">
                  <c:v>0.08</c:v>
                </c:pt>
                <c:pt idx="4">
                  <c:v>0.08</c:v>
                </c:pt>
                <c:pt idx="5">
                  <c:v>0.08</c:v>
                </c:pt>
                <c:pt idx="6">
                  <c:v>0.08</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c:v>0.08</c:v>
                </c:pt>
                <c:pt idx="25">
                  <c:v>0.08</c:v>
                </c:pt>
                <c:pt idx="26">
                  <c:v>0.08</c:v>
                </c:pt>
                <c:pt idx="27">
                  <c:v>0.08</c:v>
                </c:pt>
                <c:pt idx="28">
                  <c:v>0.08</c:v>
                </c:pt>
                <c:pt idx="29">
                  <c:v>0.08</c:v>
                </c:pt>
                <c:pt idx="30">
                  <c:v>0.08</c:v>
                </c:pt>
                <c:pt idx="31">
                  <c:v>0.08</c:v>
                </c:pt>
                <c:pt idx="32">
                  <c:v>0.08</c:v>
                </c:pt>
              </c:numCache>
            </c:numRef>
          </c:val>
          <c:smooth val="0"/>
          <c:extLst>
            <c:ext xmlns:c16="http://schemas.microsoft.com/office/drawing/2014/chart" uri="{C3380CC4-5D6E-409C-BE32-E72D297353CC}">
              <c16:uniqueId val="{00000000-0E5D-4700-B482-C405F4D65C0B}"/>
            </c:ext>
          </c:extLst>
        </c:ser>
        <c:ser>
          <c:idx val="1"/>
          <c:order val="1"/>
          <c:tx>
            <c:v>Case 2A: constant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Case2A_Ruin_ConstRates!$E$27:$E$59</c:f>
              <c:numCache>
                <c:formatCode>0.00%;\(0.00%\);\-</c:formatCode>
                <c:ptCount val="33"/>
                <c:pt idx="0">
                  <c:v>0.08</c:v>
                </c:pt>
                <c:pt idx="1">
                  <c:v>0.08</c:v>
                </c:pt>
                <c:pt idx="2">
                  <c:v>0.08</c:v>
                </c:pt>
                <c:pt idx="3">
                  <c:v>0.08</c:v>
                </c:pt>
                <c:pt idx="4">
                  <c:v>0.08</c:v>
                </c:pt>
                <c:pt idx="5">
                  <c:v>0.08</c:v>
                </c:pt>
                <c:pt idx="6">
                  <c:v>0.08</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c:v>0.08</c:v>
                </c:pt>
                <c:pt idx="25">
                  <c:v>0.08</c:v>
                </c:pt>
                <c:pt idx="26">
                  <c:v>0.08</c:v>
                </c:pt>
                <c:pt idx="27">
                  <c:v>0.08</c:v>
                </c:pt>
                <c:pt idx="28">
                  <c:v>0.08</c:v>
                </c:pt>
                <c:pt idx="29">
                  <c:v>0.08</c:v>
                </c:pt>
                <c:pt idx="30">
                  <c:v>0.08</c:v>
                </c:pt>
                <c:pt idx="31">
                  <c:v>0.08</c:v>
                </c:pt>
                <c:pt idx="32">
                  <c:v>0.08</c:v>
                </c:pt>
              </c:numCache>
            </c:numRef>
          </c:val>
          <c:smooth val="0"/>
          <c:extLst>
            <c:ext xmlns:c16="http://schemas.microsoft.com/office/drawing/2014/chart" uri="{C3380CC4-5D6E-409C-BE32-E72D297353CC}">
              <c16:uniqueId val="{00000001-0E5D-4700-B482-C405F4D65C0B}"/>
            </c:ext>
          </c:extLst>
        </c:ser>
        <c:ser>
          <c:idx val="2"/>
          <c:order val="2"/>
          <c:tx>
            <c:v>Case 2B: changing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Case2B_Ruin_ChangingRates!$E$27:$E$59</c:f>
              <c:numCache>
                <c:formatCode>0.00%;\(0.00%\);\-</c:formatCode>
                <c:ptCount val="33"/>
                <c:pt idx="0">
                  <c:v>0.08</c:v>
                </c:pt>
                <c:pt idx="1">
                  <c:v>8.5000000000000006E-2</c:v>
                </c:pt>
                <c:pt idx="2">
                  <c:v>0.09</c:v>
                </c:pt>
                <c:pt idx="3">
                  <c:v>9.1499999999999998E-2</c:v>
                </c:pt>
                <c:pt idx="4">
                  <c:v>9.5000000000000001E-2</c:v>
                </c:pt>
                <c:pt idx="5">
                  <c:v>9.8500000000000004E-2</c:v>
                </c:pt>
                <c:pt idx="6">
                  <c:v>0.1</c:v>
                </c:pt>
                <c:pt idx="7">
                  <c:v>0.1</c:v>
                </c:pt>
                <c:pt idx="8">
                  <c:v>0.1</c:v>
                </c:pt>
                <c:pt idx="9">
                  <c:v>0.1</c:v>
                </c:pt>
                <c:pt idx="10">
                  <c:v>9.6299999999999997E-2</c:v>
                </c:pt>
                <c:pt idx="11">
                  <c:v>8.8800000000000004E-2</c:v>
                </c:pt>
                <c:pt idx="12">
                  <c:v>8.5000000000000006E-2</c:v>
                </c:pt>
                <c:pt idx="13">
                  <c:v>8.4000000000000005E-2</c:v>
                </c:pt>
                <c:pt idx="14">
                  <c:v>8.3000000000000004E-2</c:v>
                </c:pt>
                <c:pt idx="15">
                  <c:v>9.1499999999999998E-2</c:v>
                </c:pt>
                <c:pt idx="16">
                  <c:v>0.1</c:v>
                </c:pt>
                <c:pt idx="17">
                  <c:v>0.11</c:v>
                </c:pt>
                <c:pt idx="18">
                  <c:v>0.12</c:v>
                </c:pt>
                <c:pt idx="19">
                  <c:v>0.1225</c:v>
                </c:pt>
                <c:pt idx="20">
                  <c:v>0.1275</c:v>
                </c:pt>
                <c:pt idx="21">
                  <c:v>0.13</c:v>
                </c:pt>
                <c:pt idx="22">
                  <c:v>0.12939999999999999</c:v>
                </c:pt>
                <c:pt idx="23">
                  <c:v>0.12759999999999999</c:v>
                </c:pt>
                <c:pt idx="24">
                  <c:v>0.12479999999999999</c:v>
                </c:pt>
                <c:pt idx="25">
                  <c:v>0.1212</c:v>
                </c:pt>
                <c:pt idx="26">
                  <c:v>0.1171</c:v>
                </c:pt>
                <c:pt idx="27">
                  <c:v>0.1129</c:v>
                </c:pt>
                <c:pt idx="28">
                  <c:v>0.10879999999999999</c:v>
                </c:pt>
                <c:pt idx="29">
                  <c:v>0.1052</c:v>
                </c:pt>
                <c:pt idx="30">
                  <c:v>0.1024</c:v>
                </c:pt>
                <c:pt idx="31">
                  <c:v>0.10059999999999999</c:v>
                </c:pt>
                <c:pt idx="32">
                  <c:v>0.1</c:v>
                </c:pt>
              </c:numCache>
            </c:numRef>
          </c:val>
          <c:smooth val="0"/>
          <c:extLst>
            <c:ext xmlns:c16="http://schemas.microsoft.com/office/drawing/2014/chart" uri="{C3380CC4-5D6E-409C-BE32-E72D297353CC}">
              <c16:uniqueId val="{00000002-0E5D-4700-B482-C405F4D65C0B}"/>
            </c:ext>
          </c:extLst>
        </c:ser>
        <c:ser>
          <c:idx val="3"/>
          <c:order val="3"/>
          <c:tx>
            <c:v>Case 2C: sell to fund</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Case2C_Changing_SellToFund!$E$27:$E$59</c:f>
              <c:numCache>
                <c:formatCode>0.00%;\(0.00%\);\-</c:formatCode>
                <c:ptCount val="33"/>
                <c:pt idx="0">
                  <c:v>0.08</c:v>
                </c:pt>
                <c:pt idx="1">
                  <c:v>8.5000000000000006E-2</c:v>
                </c:pt>
                <c:pt idx="2">
                  <c:v>0.09</c:v>
                </c:pt>
                <c:pt idx="3">
                  <c:v>9.1499999999999998E-2</c:v>
                </c:pt>
                <c:pt idx="4">
                  <c:v>9.5000000000000001E-2</c:v>
                </c:pt>
                <c:pt idx="5">
                  <c:v>9.8500000000000004E-2</c:v>
                </c:pt>
                <c:pt idx="6">
                  <c:v>0.1</c:v>
                </c:pt>
                <c:pt idx="7">
                  <c:v>0.1</c:v>
                </c:pt>
                <c:pt idx="8">
                  <c:v>0.1</c:v>
                </c:pt>
                <c:pt idx="9">
                  <c:v>0.1</c:v>
                </c:pt>
                <c:pt idx="10">
                  <c:v>9.6299999999999997E-2</c:v>
                </c:pt>
                <c:pt idx="11">
                  <c:v>8.8800000000000004E-2</c:v>
                </c:pt>
                <c:pt idx="12">
                  <c:v>8.5000000000000006E-2</c:v>
                </c:pt>
                <c:pt idx="13">
                  <c:v>8.4000000000000005E-2</c:v>
                </c:pt>
                <c:pt idx="14">
                  <c:v>8.3000000000000004E-2</c:v>
                </c:pt>
                <c:pt idx="15">
                  <c:v>9.1499999999999998E-2</c:v>
                </c:pt>
                <c:pt idx="16">
                  <c:v>0.1</c:v>
                </c:pt>
                <c:pt idx="17">
                  <c:v>0.11</c:v>
                </c:pt>
                <c:pt idx="18">
                  <c:v>0.12</c:v>
                </c:pt>
                <c:pt idx="19">
                  <c:v>0.1225</c:v>
                </c:pt>
                <c:pt idx="20">
                  <c:v>0.1275</c:v>
                </c:pt>
                <c:pt idx="21">
                  <c:v>0.13</c:v>
                </c:pt>
                <c:pt idx="22">
                  <c:v>0.12939999999999999</c:v>
                </c:pt>
                <c:pt idx="23">
                  <c:v>0.12759999999999999</c:v>
                </c:pt>
                <c:pt idx="24">
                  <c:v>0.12479999999999999</c:v>
                </c:pt>
                <c:pt idx="25">
                  <c:v>0.1212</c:v>
                </c:pt>
                <c:pt idx="26">
                  <c:v>0.1171</c:v>
                </c:pt>
                <c:pt idx="27">
                  <c:v>0.1129</c:v>
                </c:pt>
                <c:pt idx="28">
                  <c:v>0.10879999999999999</c:v>
                </c:pt>
                <c:pt idx="29">
                  <c:v>0.1052</c:v>
                </c:pt>
                <c:pt idx="30">
                  <c:v>0.1024</c:v>
                </c:pt>
                <c:pt idx="31">
                  <c:v>0.10059999999999999</c:v>
                </c:pt>
                <c:pt idx="32">
                  <c:v>0.1</c:v>
                </c:pt>
              </c:numCache>
            </c:numRef>
          </c:val>
          <c:smooth val="0"/>
          <c:extLst>
            <c:ext xmlns:c16="http://schemas.microsoft.com/office/drawing/2014/chart" uri="{C3380CC4-5D6E-409C-BE32-E72D297353CC}">
              <c16:uniqueId val="{00000003-0E5D-4700-B482-C405F4D65C0B}"/>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numFmt formatCode="0.00%;\(0.00%\);\-" sourceLinked="1"/>
        <c:majorTickMark val="none"/>
        <c:minorTickMark val="none"/>
        <c:tickLblPos val="nextTo"/>
        <c:crossAx val="10"/>
        <c:crosses val="autoZero"/>
        <c:crossBetween val="between"/>
      </c:valAx>
    </c:plotArea>
    <c:legend>
      <c:legendPos val="b"/>
      <c:layout>
        <c:manualLayout>
          <c:xMode val="edge"/>
          <c:yMode val="edge"/>
          <c:x val="0.1931761111111111"/>
          <c:y val="0.67152986111111124"/>
          <c:w val="0.69125888888888898"/>
          <c:h val="9.4754861111111116E-2"/>
        </c:manualLayout>
      </c:layout>
      <c:overlay val="1"/>
    </c:legend>
    <c:plotVisOnly val="1"/>
    <c:dispBlanksAs val="gap"/>
    <c:showDLblsOverMax val="1"/>
  </c:chart>
  <c:txPr>
    <a:bodyPr/>
    <a:lstStyle/>
    <a:p>
      <a:pPr>
        <a:defRPr>
          <a:latin typeface="Trebuchet MS" panose="020B0603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Net worth ($mm)</a:t>
            </a:r>
          </a:p>
        </c:rich>
      </c:tx>
      <c:overlay val="1"/>
    </c:title>
    <c:autoTitleDeleted val="0"/>
    <c:plotArea>
      <c:layout/>
      <c:lineChart>
        <c:grouping val="standard"/>
        <c:varyColors val="1"/>
        <c:ser>
          <c:idx val="0"/>
          <c:order val="0"/>
          <c:tx>
            <c:v>Case 1: Calm</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Case1_Calm!$Z$27:$Z$59</c:f>
              <c:numCache>
                <c:formatCode>#,##0.0;\(#,##0.0\);\-</c:formatCode>
                <c:ptCount val="33"/>
                <c:pt idx="0">
                  <c:v>110</c:v>
                </c:pt>
                <c:pt idx="1">
                  <c:v>114.61000000000001</c:v>
                </c:pt>
                <c:pt idx="2">
                  <c:v>114.24745</c:v>
                </c:pt>
                <c:pt idx="3">
                  <c:v>118.48744899999997</c:v>
                </c:pt>
                <c:pt idx="4">
                  <c:v>121.53244798000001</c:v>
                </c:pt>
                <c:pt idx="5">
                  <c:v>125.04784693960005</c:v>
                </c:pt>
                <c:pt idx="6">
                  <c:v>125.79742887839203</c:v>
                </c:pt>
                <c:pt idx="7">
                  <c:v>130.07875245595986</c:v>
                </c:pt>
                <c:pt idx="8">
                  <c:v>129.54835250507907</c:v>
                </c:pt>
                <c:pt idx="9">
                  <c:v>138.48051955518062</c:v>
                </c:pt>
                <c:pt idx="10">
                  <c:v>138.37015494628426</c:v>
                </c:pt>
                <c:pt idx="11">
                  <c:v>142.77625804520994</c:v>
                </c:pt>
                <c:pt idx="12">
                  <c:v>144.33468320611416</c:v>
                </c:pt>
                <c:pt idx="13">
                  <c:v>149.93647687023645</c:v>
                </c:pt>
                <c:pt idx="14">
                  <c:v>152.3041064076412</c:v>
                </c:pt>
                <c:pt idx="15">
                  <c:v>155.13983853579401</c:v>
                </c:pt>
                <c:pt idx="16">
                  <c:v>157.11541030650989</c:v>
                </c:pt>
                <c:pt idx="17">
                  <c:v>164.05664351264005</c:v>
                </c:pt>
                <c:pt idx="18">
                  <c:v>165.86697638289291</c:v>
                </c:pt>
                <c:pt idx="19">
                  <c:v>171.83259091055078</c:v>
                </c:pt>
                <c:pt idx="20">
                  <c:v>175.07284272876177</c:v>
                </c:pt>
                <c:pt idx="21">
                  <c:v>179.86987458333704</c:v>
                </c:pt>
                <c:pt idx="22">
                  <c:v>181.75369707500374</c:v>
                </c:pt>
                <c:pt idx="23">
                  <c:v>187.25494601650379</c:v>
                </c:pt>
                <c:pt idx="24">
                  <c:v>192.08096993683387</c:v>
                </c:pt>
                <c:pt idx="25">
                  <c:v>197.88326433557057</c:v>
                </c:pt>
                <c:pt idx="26">
                  <c:v>201.14165462228192</c:v>
                </c:pt>
                <c:pt idx="27">
                  <c:v>205.68966271472755</c:v>
                </c:pt>
                <c:pt idx="28">
                  <c:v>210.1513309690221</c:v>
                </c:pt>
                <c:pt idx="29">
                  <c:v>215.33650758840258</c:v>
                </c:pt>
                <c:pt idx="30">
                  <c:v>220.62111274017062</c:v>
                </c:pt>
                <c:pt idx="31">
                  <c:v>225.88045999497399</c:v>
                </c:pt>
                <c:pt idx="32">
                  <c:v>231.13294419487346</c:v>
                </c:pt>
              </c:numCache>
            </c:numRef>
          </c:val>
          <c:smooth val="0"/>
          <c:extLst>
            <c:ext xmlns:c16="http://schemas.microsoft.com/office/drawing/2014/chart" uri="{C3380CC4-5D6E-409C-BE32-E72D297353CC}">
              <c16:uniqueId val="{00000000-379C-4F5F-89E8-995ED9F5EAFF}"/>
            </c:ext>
          </c:extLst>
        </c:ser>
        <c:ser>
          <c:idx val="1"/>
          <c:order val="1"/>
          <c:tx>
            <c:v>Case 2A: constant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Case2A_Ruin_ConstRates!$Z$27:$Z$59</c:f>
              <c:numCache>
                <c:formatCode>#,##0.0;\(#,##0.0\);\-</c:formatCode>
                <c:ptCount val="33"/>
                <c:pt idx="0">
                  <c:v>110</c:v>
                </c:pt>
                <c:pt idx="1">
                  <c:v>108.256</c:v>
                </c:pt>
                <c:pt idx="2">
                  <c:v>93.913794999999979</c:v>
                </c:pt>
                <c:pt idx="3">
                  <c:v>80.342695899999995</c:v>
                </c:pt>
                <c:pt idx="4">
                  <c:v>61.247099817999995</c:v>
                </c:pt>
                <c:pt idx="5">
                  <c:v>45.566241814359984</c:v>
                </c:pt>
                <c:pt idx="6">
                  <c:v>13.967566650647196</c:v>
                </c:pt>
                <c:pt idx="7">
                  <c:v>13.967566650647196</c:v>
                </c:pt>
                <c:pt idx="8">
                  <c:v>13.967566650647196</c:v>
                </c:pt>
                <c:pt idx="9">
                  <c:v>13.967566650647196</c:v>
                </c:pt>
                <c:pt idx="10">
                  <c:v>13.967566650647196</c:v>
                </c:pt>
                <c:pt idx="11">
                  <c:v>13.967566650647196</c:v>
                </c:pt>
                <c:pt idx="12">
                  <c:v>13.967566650647196</c:v>
                </c:pt>
                <c:pt idx="13">
                  <c:v>13.967566650647196</c:v>
                </c:pt>
                <c:pt idx="14">
                  <c:v>13.967566650647196</c:v>
                </c:pt>
                <c:pt idx="15">
                  <c:v>13.967566650647196</c:v>
                </c:pt>
                <c:pt idx="16">
                  <c:v>13.967566650647196</c:v>
                </c:pt>
                <c:pt idx="17">
                  <c:v>13.967566650647196</c:v>
                </c:pt>
                <c:pt idx="18">
                  <c:v>13.967566650647196</c:v>
                </c:pt>
                <c:pt idx="19">
                  <c:v>13.967566650647196</c:v>
                </c:pt>
                <c:pt idx="20">
                  <c:v>13.967566650647196</c:v>
                </c:pt>
                <c:pt idx="21">
                  <c:v>13.967566650647196</c:v>
                </c:pt>
                <c:pt idx="22">
                  <c:v>13.967566650647196</c:v>
                </c:pt>
                <c:pt idx="23">
                  <c:v>13.967566650647196</c:v>
                </c:pt>
                <c:pt idx="24">
                  <c:v>13.967566650647196</c:v>
                </c:pt>
                <c:pt idx="25">
                  <c:v>13.967566650647196</c:v>
                </c:pt>
                <c:pt idx="26">
                  <c:v>13.967566650647196</c:v>
                </c:pt>
                <c:pt idx="27">
                  <c:v>13.967566650647196</c:v>
                </c:pt>
                <c:pt idx="28">
                  <c:v>13.967566650647196</c:v>
                </c:pt>
                <c:pt idx="29">
                  <c:v>13.967566650647196</c:v>
                </c:pt>
                <c:pt idx="30">
                  <c:v>13.967566650647196</c:v>
                </c:pt>
                <c:pt idx="31">
                  <c:v>13.967566650647196</c:v>
                </c:pt>
                <c:pt idx="32">
                  <c:v>13.967566650647196</c:v>
                </c:pt>
              </c:numCache>
            </c:numRef>
          </c:val>
          <c:smooth val="0"/>
          <c:extLst>
            <c:ext xmlns:c16="http://schemas.microsoft.com/office/drawing/2014/chart" uri="{C3380CC4-5D6E-409C-BE32-E72D297353CC}">
              <c16:uniqueId val="{00000001-379C-4F5F-89E8-995ED9F5EAFF}"/>
            </c:ext>
          </c:extLst>
        </c:ser>
        <c:ser>
          <c:idx val="2"/>
          <c:order val="2"/>
          <c:tx>
            <c:v>Case 2B: changing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Case2B_Ruin_ChangingRates!$Z$27:$Z$59</c:f>
              <c:numCache>
                <c:formatCode>#,##0.0;\(#,##0.0\);\-</c:formatCode>
                <c:ptCount val="33"/>
                <c:pt idx="0">
                  <c:v>110</c:v>
                </c:pt>
                <c:pt idx="1">
                  <c:v>103.58399999999999</c:v>
                </c:pt>
                <c:pt idx="2">
                  <c:v>93.88263000000002</c:v>
                </c:pt>
                <c:pt idx="3">
                  <c:v>85.834629161250021</c:v>
                </c:pt>
                <c:pt idx="4">
                  <c:v>74.477544103829715</c:v>
                </c:pt>
                <c:pt idx="5">
                  <c:v>63.923066127386534</c:v>
                </c:pt>
                <c:pt idx="6">
                  <c:v>59.063420727386536</c:v>
                </c:pt>
                <c:pt idx="7">
                  <c:v>60.507020727386511</c:v>
                </c:pt>
                <c:pt idx="8">
                  <c:v>72.385130727386496</c:v>
                </c:pt>
                <c:pt idx="9">
                  <c:v>81.581913477386507</c:v>
                </c:pt>
                <c:pt idx="10">
                  <c:v>102.60652294034276</c:v>
                </c:pt>
                <c:pt idx="11">
                  <c:v>116.34996140947038</c:v>
                </c:pt>
                <c:pt idx="12">
                  <c:v>126.21711039896468</c:v>
                </c:pt>
                <c:pt idx="13">
                  <c:v>128.50695288206782</c:v>
                </c:pt>
                <c:pt idx="14">
                  <c:v>123.34399417427744</c:v>
                </c:pt>
                <c:pt idx="15">
                  <c:v>107.07671954187509</c:v>
                </c:pt>
                <c:pt idx="16">
                  <c:v>91.947497012237278</c:v>
                </c:pt>
                <c:pt idx="17">
                  <c:v>68.674389110070706</c:v>
                </c:pt>
                <c:pt idx="18">
                  <c:v>26.306902610070704</c:v>
                </c:pt>
                <c:pt idx="19">
                  <c:v>26.306902610070704</c:v>
                </c:pt>
                <c:pt idx="20">
                  <c:v>26.306902610070704</c:v>
                </c:pt>
                <c:pt idx="21">
                  <c:v>26.306902610070704</c:v>
                </c:pt>
                <c:pt idx="22">
                  <c:v>26.306902610070704</c:v>
                </c:pt>
                <c:pt idx="23">
                  <c:v>26.306902610070704</c:v>
                </c:pt>
                <c:pt idx="24">
                  <c:v>26.306902610070704</c:v>
                </c:pt>
                <c:pt idx="25">
                  <c:v>26.306902610070704</c:v>
                </c:pt>
                <c:pt idx="26">
                  <c:v>26.306902610070704</c:v>
                </c:pt>
                <c:pt idx="27">
                  <c:v>26.306902610070704</c:v>
                </c:pt>
                <c:pt idx="28">
                  <c:v>26.306902610070704</c:v>
                </c:pt>
                <c:pt idx="29">
                  <c:v>26.306902610070704</c:v>
                </c:pt>
                <c:pt idx="30">
                  <c:v>26.306902610070704</c:v>
                </c:pt>
                <c:pt idx="31">
                  <c:v>26.306902610070704</c:v>
                </c:pt>
                <c:pt idx="32">
                  <c:v>26.306902610070704</c:v>
                </c:pt>
              </c:numCache>
            </c:numRef>
          </c:val>
          <c:smooth val="0"/>
          <c:extLst>
            <c:ext xmlns:c16="http://schemas.microsoft.com/office/drawing/2014/chart" uri="{C3380CC4-5D6E-409C-BE32-E72D297353CC}">
              <c16:uniqueId val="{00000002-379C-4F5F-89E8-995ED9F5EAFF}"/>
            </c:ext>
          </c:extLst>
        </c:ser>
        <c:ser>
          <c:idx val="3"/>
          <c:order val="3"/>
          <c:tx>
            <c:v>Case 2C: sell to fund</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Case2C_Changing_SellToFund!$Z$27:$Z$59</c:f>
              <c:numCache>
                <c:formatCode>#,##0.0;\(#,##0.0\);\-</c:formatCode>
                <c:ptCount val="33"/>
                <c:pt idx="0">
                  <c:v>110</c:v>
                </c:pt>
                <c:pt idx="1">
                  <c:v>103.58399999999999</c:v>
                </c:pt>
                <c:pt idx="2">
                  <c:v>93.88263000000002</c:v>
                </c:pt>
                <c:pt idx="3">
                  <c:v>85.834629161250021</c:v>
                </c:pt>
                <c:pt idx="4">
                  <c:v>74.477544103829715</c:v>
                </c:pt>
                <c:pt idx="5">
                  <c:v>63.923066127386534</c:v>
                </c:pt>
                <c:pt idx="6">
                  <c:v>59.063420727386536</c:v>
                </c:pt>
                <c:pt idx="7">
                  <c:v>60.507020727386511</c:v>
                </c:pt>
                <c:pt idx="8">
                  <c:v>72.385130727386496</c:v>
                </c:pt>
                <c:pt idx="9">
                  <c:v>81.581913477386507</c:v>
                </c:pt>
                <c:pt idx="10">
                  <c:v>102.60652294034276</c:v>
                </c:pt>
                <c:pt idx="11">
                  <c:v>116.34996140947038</c:v>
                </c:pt>
                <c:pt idx="12">
                  <c:v>126.21711039896468</c:v>
                </c:pt>
                <c:pt idx="13">
                  <c:v>128.50695288206782</c:v>
                </c:pt>
                <c:pt idx="14">
                  <c:v>123.34399417427744</c:v>
                </c:pt>
                <c:pt idx="15">
                  <c:v>107.07671954187509</c:v>
                </c:pt>
                <c:pt idx="16">
                  <c:v>91.947497012237278</c:v>
                </c:pt>
                <c:pt idx="17">
                  <c:v>68.674389110070706</c:v>
                </c:pt>
                <c:pt idx="18">
                  <c:v>36.971863127666936</c:v>
                </c:pt>
                <c:pt idx="19">
                  <c:v>23.268907671357077</c:v>
                </c:pt>
                <c:pt idx="20">
                  <c:v>15.815563317995419</c:v>
                </c:pt>
                <c:pt idx="21">
                  <c:v>13.98910017849648</c:v>
                </c:pt>
                <c:pt idx="22">
                  <c:v>15.00470885145533</c:v>
                </c:pt>
                <c:pt idx="23">
                  <c:v>17.745032846074992</c:v>
                </c:pt>
                <c:pt idx="24">
                  <c:v>22.817928494250069</c:v>
                </c:pt>
                <c:pt idx="25">
                  <c:v>29.310942231759476</c:v>
                </c:pt>
                <c:pt idx="26">
                  <c:v>36.691508085894952</c:v>
                </c:pt>
                <c:pt idx="27">
                  <c:v>44.604103432659052</c:v>
                </c:pt>
                <c:pt idx="28">
                  <c:v>51.580234861103492</c:v>
                </c:pt>
                <c:pt idx="29">
                  <c:v>58.116470148148188</c:v>
                </c:pt>
                <c:pt idx="30">
                  <c:v>63.052101938724256</c:v>
                </c:pt>
                <c:pt idx="31">
                  <c:v>67.306222075793926</c:v>
                </c:pt>
                <c:pt idx="32">
                  <c:v>68.596098667427043</c:v>
                </c:pt>
              </c:numCache>
            </c:numRef>
          </c:val>
          <c:smooth val="0"/>
          <c:extLst>
            <c:ext xmlns:c16="http://schemas.microsoft.com/office/drawing/2014/chart" uri="{C3380CC4-5D6E-409C-BE32-E72D297353CC}">
              <c16:uniqueId val="{00000003-379C-4F5F-89E8-995ED9F5EAFF}"/>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numFmt formatCode="#,##0.0;\(#,##0.0\);\-" sourceLinked="1"/>
        <c:majorTickMark val="none"/>
        <c:minorTickMark val="none"/>
        <c:tickLblPos val="nextTo"/>
        <c:crossAx val="10"/>
        <c:crosses val="autoZero"/>
        <c:crossBetween val="between"/>
      </c:valAx>
    </c:plotArea>
    <c:legend>
      <c:legendPos val="b"/>
      <c:layout>
        <c:manualLayout>
          <c:xMode val="edge"/>
          <c:yMode val="edge"/>
          <c:x val="0.53889833333333337"/>
          <c:y val="0.38489791666666667"/>
          <c:w val="0.43255518518518521"/>
          <c:h val="0.23145625"/>
        </c:manualLayout>
      </c:layout>
      <c:overlay val="1"/>
    </c:legend>
    <c:plotVisOnly val="1"/>
    <c:dispBlanksAs val="gap"/>
    <c:showDLblsOverMax val="1"/>
  </c:chart>
  <c:txPr>
    <a:bodyPr/>
    <a:lstStyle/>
    <a:p>
      <a:pPr>
        <a:defRPr>
          <a:latin typeface="Trebuchet MS" panose="020B0603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Liquidity reserve ($mm)</a:t>
            </a:r>
          </a:p>
        </c:rich>
      </c:tx>
      <c:overlay val="1"/>
    </c:title>
    <c:autoTitleDeleted val="0"/>
    <c:plotArea>
      <c:layout/>
      <c:lineChart>
        <c:grouping val="standard"/>
        <c:varyColors val="1"/>
        <c:ser>
          <c:idx val="0"/>
          <c:order val="0"/>
          <c:tx>
            <c:v>Case 1: Calm</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Case1_Calm!$W$27:$W$59</c:f>
              <c:numCache>
                <c:formatCode>#,##0.0;\(#,##0.0\);\-</c:formatCode>
                <c:ptCount val="33"/>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numCache>
            </c:numRef>
          </c:val>
          <c:smooth val="0"/>
          <c:extLst>
            <c:ext xmlns:c16="http://schemas.microsoft.com/office/drawing/2014/chart" uri="{C3380CC4-5D6E-409C-BE32-E72D297353CC}">
              <c16:uniqueId val="{00000000-C60F-4C20-804B-2B722D4E1134}"/>
            </c:ext>
          </c:extLst>
        </c:ser>
        <c:ser>
          <c:idx val="1"/>
          <c:order val="1"/>
          <c:tx>
            <c:v>Case 2A: constant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Case2A_Ruin_ConstRates!$W$27:$W$59</c:f>
              <c:numCache>
                <c:formatCode>#,##0.0;\(#,##0.0\);\-</c:formatCode>
                <c:ptCount val="33"/>
                <c:pt idx="0">
                  <c:v>10</c:v>
                </c:pt>
                <c:pt idx="1">
                  <c:v>10</c:v>
                </c:pt>
                <c:pt idx="2">
                  <c:v>10</c:v>
                </c:pt>
                <c:pt idx="3">
                  <c:v>10</c:v>
                </c:pt>
                <c:pt idx="4">
                  <c:v>10</c:v>
                </c:pt>
                <c:pt idx="5">
                  <c:v>10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smooth val="0"/>
          <c:extLst>
            <c:ext xmlns:c16="http://schemas.microsoft.com/office/drawing/2014/chart" uri="{C3380CC4-5D6E-409C-BE32-E72D297353CC}">
              <c16:uniqueId val="{00000001-C60F-4C20-804B-2B722D4E1134}"/>
            </c:ext>
          </c:extLst>
        </c:ser>
        <c:ser>
          <c:idx val="2"/>
          <c:order val="2"/>
          <c:tx>
            <c:v>Case 2B: changing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Case2B_Ruin_ChangingRates!$W$27:$W$59</c:f>
              <c:numCache>
                <c:formatCode>#,##0.0;\(#,##0.0\);\-</c:formatCode>
                <c:ptCount val="33"/>
                <c:pt idx="0">
                  <c:v>10</c:v>
                </c:pt>
                <c:pt idx="1">
                  <c:v>10</c:v>
                </c:pt>
                <c:pt idx="2">
                  <c:v>10</c:v>
                </c:pt>
                <c:pt idx="3">
                  <c:v>10</c:v>
                </c:pt>
                <c:pt idx="4">
                  <c:v>10</c:v>
                </c:pt>
                <c:pt idx="5">
                  <c:v>7.5598821273865227</c:v>
                </c:pt>
                <c:pt idx="6">
                  <c:v>3.1194207273865331</c:v>
                </c:pt>
                <c:pt idx="7">
                  <c:v>3.1194207273865331</c:v>
                </c:pt>
                <c:pt idx="8">
                  <c:v>3.1194207273865331</c:v>
                </c:pt>
                <c:pt idx="9">
                  <c:v>3.1194207273865331</c:v>
                </c:pt>
                <c:pt idx="10">
                  <c:v>3.1194207273865331</c:v>
                </c:pt>
                <c:pt idx="11">
                  <c:v>3.1194207273865331</c:v>
                </c:pt>
                <c:pt idx="12">
                  <c:v>3.1194207273865331</c:v>
                </c:pt>
                <c:pt idx="13">
                  <c:v>3.1194207273865331</c:v>
                </c:pt>
                <c:pt idx="14">
                  <c:v>3.1194207273865331</c:v>
                </c:pt>
                <c:pt idx="15">
                  <c:v>3.1194207273865331</c:v>
                </c:pt>
                <c:pt idx="16">
                  <c:v>3.1194207273865331</c:v>
                </c:pt>
                <c:pt idx="17">
                  <c:v>2.2314391100706885</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smooth val="0"/>
          <c:extLst>
            <c:ext xmlns:c16="http://schemas.microsoft.com/office/drawing/2014/chart" uri="{C3380CC4-5D6E-409C-BE32-E72D297353CC}">
              <c16:uniqueId val="{00000002-C60F-4C20-804B-2B722D4E1134}"/>
            </c:ext>
          </c:extLst>
        </c:ser>
        <c:ser>
          <c:idx val="3"/>
          <c:order val="3"/>
          <c:tx>
            <c:v>Case 2C: sell to fund</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Case2C_Changing_SellToFund!$W$27:$W$59</c:f>
              <c:numCache>
                <c:formatCode>#,##0.0;\(#,##0.0\);\-</c:formatCode>
                <c:ptCount val="33"/>
                <c:pt idx="0">
                  <c:v>10</c:v>
                </c:pt>
                <c:pt idx="1">
                  <c:v>10</c:v>
                </c:pt>
                <c:pt idx="2">
                  <c:v>10</c:v>
                </c:pt>
                <c:pt idx="3">
                  <c:v>10</c:v>
                </c:pt>
                <c:pt idx="4">
                  <c:v>10</c:v>
                </c:pt>
                <c:pt idx="5">
                  <c:v>7.5598821273865227</c:v>
                </c:pt>
                <c:pt idx="6">
                  <c:v>3.1194207273865331</c:v>
                </c:pt>
                <c:pt idx="7">
                  <c:v>3.1194207273865331</c:v>
                </c:pt>
                <c:pt idx="8">
                  <c:v>3.1194207273865331</c:v>
                </c:pt>
                <c:pt idx="9">
                  <c:v>3.1194207273865331</c:v>
                </c:pt>
                <c:pt idx="10">
                  <c:v>3.1194207273865331</c:v>
                </c:pt>
                <c:pt idx="11">
                  <c:v>3.1194207273865331</c:v>
                </c:pt>
                <c:pt idx="12">
                  <c:v>3.1194207273865331</c:v>
                </c:pt>
                <c:pt idx="13">
                  <c:v>3.1194207273865331</c:v>
                </c:pt>
                <c:pt idx="14">
                  <c:v>3.1194207273865331</c:v>
                </c:pt>
                <c:pt idx="15">
                  <c:v>3.1194207273865331</c:v>
                </c:pt>
                <c:pt idx="16">
                  <c:v>3.1194207273865331</c:v>
                </c:pt>
                <c:pt idx="17">
                  <c:v>2.2314391100706885</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smooth val="0"/>
          <c:extLst>
            <c:ext xmlns:c16="http://schemas.microsoft.com/office/drawing/2014/chart" uri="{C3380CC4-5D6E-409C-BE32-E72D297353CC}">
              <c16:uniqueId val="{00000003-C60F-4C20-804B-2B722D4E1134}"/>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numFmt formatCode="#,##0.0;\(#,##0.0\);\-" sourceLinked="1"/>
        <c:majorTickMark val="none"/>
        <c:minorTickMark val="none"/>
        <c:tickLblPos val="nextTo"/>
        <c:crossAx val="10"/>
        <c:crosses val="autoZero"/>
        <c:crossBetween val="between"/>
      </c:valAx>
    </c:plotArea>
    <c:legend>
      <c:legendPos val="b"/>
      <c:layout>
        <c:manualLayout>
          <c:xMode val="edge"/>
          <c:yMode val="edge"/>
          <c:x val="0.20963907407407403"/>
          <c:y val="0.32316180555555557"/>
          <c:w val="0.69361074074074081"/>
          <c:h val="0.14767152777777778"/>
        </c:manualLayout>
      </c:layout>
      <c:overlay val="1"/>
    </c:legend>
    <c:plotVisOnly val="1"/>
    <c:dispBlanksAs val="gap"/>
    <c:showDLblsOverMax val="1"/>
  </c:chart>
  <c:txPr>
    <a:bodyPr/>
    <a:lstStyle/>
    <a:p>
      <a:pPr>
        <a:defRPr>
          <a:latin typeface="Trebuchet MS" panose="020B0603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Shadow net worth: never forced out ($mm)</a:t>
            </a:r>
          </a:p>
        </c:rich>
      </c:tx>
      <c:overlay val="1"/>
    </c:title>
    <c:autoTitleDeleted val="0"/>
    <c:plotArea>
      <c:layout/>
      <c:lineChart>
        <c:grouping val="standard"/>
        <c:varyColors val="1"/>
        <c:ser>
          <c:idx val="0"/>
          <c:order val="0"/>
          <c:tx>
            <c:v>Case 1: Calm</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Case1_Calm!$AC$27:$AC$59</c:f>
              <c:numCache>
                <c:formatCode>#,##0.0;\(#,##0.0\);\-</c:formatCode>
                <c:ptCount val="33"/>
                <c:pt idx="0">
                  <c:v>110</c:v>
                </c:pt>
                <c:pt idx="1">
                  <c:v>114.61000000000001</c:v>
                </c:pt>
                <c:pt idx="2">
                  <c:v>114.24745</c:v>
                </c:pt>
                <c:pt idx="3">
                  <c:v>118.48744899999997</c:v>
                </c:pt>
                <c:pt idx="4">
                  <c:v>121.53244798000001</c:v>
                </c:pt>
                <c:pt idx="5">
                  <c:v>125.04784693960005</c:v>
                </c:pt>
                <c:pt idx="6">
                  <c:v>125.79742887839203</c:v>
                </c:pt>
                <c:pt idx="7">
                  <c:v>130.07875245595986</c:v>
                </c:pt>
                <c:pt idx="8">
                  <c:v>129.54835250507907</c:v>
                </c:pt>
                <c:pt idx="9">
                  <c:v>138.48051955518059</c:v>
                </c:pt>
                <c:pt idx="10">
                  <c:v>138.37015494628423</c:v>
                </c:pt>
                <c:pt idx="11">
                  <c:v>142.77625804520994</c:v>
                </c:pt>
                <c:pt idx="12">
                  <c:v>144.33468320611414</c:v>
                </c:pt>
                <c:pt idx="13">
                  <c:v>149.93647687023645</c:v>
                </c:pt>
                <c:pt idx="14">
                  <c:v>152.30410640764117</c:v>
                </c:pt>
                <c:pt idx="15">
                  <c:v>155.13983853579401</c:v>
                </c:pt>
                <c:pt idx="16">
                  <c:v>157.11541030650989</c:v>
                </c:pt>
                <c:pt idx="17">
                  <c:v>164.05664351264005</c:v>
                </c:pt>
                <c:pt idx="18">
                  <c:v>165.86697638289289</c:v>
                </c:pt>
                <c:pt idx="19">
                  <c:v>171.83259091055072</c:v>
                </c:pt>
                <c:pt idx="20">
                  <c:v>175.07284272876177</c:v>
                </c:pt>
                <c:pt idx="21">
                  <c:v>179.86987458333704</c:v>
                </c:pt>
                <c:pt idx="22">
                  <c:v>181.75369707500369</c:v>
                </c:pt>
                <c:pt idx="23">
                  <c:v>187.25494601650377</c:v>
                </c:pt>
                <c:pt idx="24">
                  <c:v>192.08096993683381</c:v>
                </c:pt>
                <c:pt idx="25">
                  <c:v>197.88326433557052</c:v>
                </c:pt>
                <c:pt idx="26">
                  <c:v>201.14165462228186</c:v>
                </c:pt>
                <c:pt idx="27">
                  <c:v>205.68966271472749</c:v>
                </c:pt>
                <c:pt idx="28">
                  <c:v>210.15133096902207</c:v>
                </c:pt>
                <c:pt idx="29">
                  <c:v>215.33650758840253</c:v>
                </c:pt>
                <c:pt idx="30">
                  <c:v>220.62111274017059</c:v>
                </c:pt>
                <c:pt idx="31">
                  <c:v>225.88045999497393</c:v>
                </c:pt>
                <c:pt idx="32">
                  <c:v>231.13294419487343</c:v>
                </c:pt>
              </c:numCache>
            </c:numRef>
          </c:val>
          <c:smooth val="0"/>
          <c:extLst>
            <c:ext xmlns:c16="http://schemas.microsoft.com/office/drawing/2014/chart" uri="{C3380CC4-5D6E-409C-BE32-E72D297353CC}">
              <c16:uniqueId val="{00000000-9D97-4067-AC7C-1E6F2E41D32F}"/>
            </c:ext>
          </c:extLst>
        </c:ser>
        <c:ser>
          <c:idx val="1"/>
          <c:order val="1"/>
          <c:tx>
            <c:v>Case 2A: constant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Case2A_Ruin_ConstRates!$AC$27:$AC$59</c:f>
              <c:numCache>
                <c:formatCode>#,##0.0;\(#,##0.0\);\-</c:formatCode>
                <c:ptCount val="33"/>
                <c:pt idx="0">
                  <c:v>110</c:v>
                </c:pt>
                <c:pt idx="1">
                  <c:v>108.256</c:v>
                </c:pt>
                <c:pt idx="2">
                  <c:v>93.913794999999979</c:v>
                </c:pt>
                <c:pt idx="3">
                  <c:v>80.342695899999995</c:v>
                </c:pt>
                <c:pt idx="4">
                  <c:v>61.247099817999995</c:v>
                </c:pt>
                <c:pt idx="5">
                  <c:v>45.566241814359984</c:v>
                </c:pt>
                <c:pt idx="6">
                  <c:v>29.273866650647193</c:v>
                </c:pt>
                <c:pt idx="7">
                  <c:v>21.147818983660144</c:v>
                </c:pt>
                <c:pt idx="8">
                  <c:v>15.379700363333328</c:v>
                </c:pt>
                <c:pt idx="9">
                  <c:v>16.846294370599992</c:v>
                </c:pt>
                <c:pt idx="10">
                  <c:v>18.455170258011989</c:v>
                </c:pt>
                <c:pt idx="11">
                  <c:v>20.333373663172225</c:v>
                </c:pt>
                <c:pt idx="12">
                  <c:v>24.15691613643564</c:v>
                </c:pt>
                <c:pt idx="13">
                  <c:v>32.154404459164354</c:v>
                </c:pt>
                <c:pt idx="14">
                  <c:v>38.021342548347661</c:v>
                </c:pt>
                <c:pt idx="15">
                  <c:v>48.88834439931459</c:v>
                </c:pt>
                <c:pt idx="16">
                  <c:v>62.417311287300862</c:v>
                </c:pt>
                <c:pt idx="17">
                  <c:v>71.789082513046864</c:v>
                </c:pt>
                <c:pt idx="18">
                  <c:v>80.483614163307792</c:v>
                </c:pt>
                <c:pt idx="19">
                  <c:v>91.970586446573989</c:v>
                </c:pt>
                <c:pt idx="20">
                  <c:v>105.15564817550548</c:v>
                </c:pt>
                <c:pt idx="21">
                  <c:v>119.53051113901559</c:v>
                </c:pt>
                <c:pt idx="22">
                  <c:v>131.55924636179589</c:v>
                </c:pt>
                <c:pt idx="23">
                  <c:v>147.09353128903177</c:v>
                </c:pt>
                <c:pt idx="24">
                  <c:v>156.27872691481247</c:v>
                </c:pt>
                <c:pt idx="25">
                  <c:v>169.13062645310865</c:v>
                </c:pt>
                <c:pt idx="26">
                  <c:v>175.02156398217085</c:v>
                </c:pt>
                <c:pt idx="27">
                  <c:v>184.35852026181425</c:v>
                </c:pt>
                <c:pt idx="28">
                  <c:v>195.56589066705052</c:v>
                </c:pt>
                <c:pt idx="29">
                  <c:v>204.69858348039151</c:v>
                </c:pt>
                <c:pt idx="30">
                  <c:v>207.18810514999939</c:v>
                </c:pt>
                <c:pt idx="31">
                  <c:v>214.72151725299932</c:v>
                </c:pt>
                <c:pt idx="32">
                  <c:v>211.65892259805932</c:v>
                </c:pt>
              </c:numCache>
            </c:numRef>
          </c:val>
          <c:smooth val="0"/>
          <c:extLst>
            <c:ext xmlns:c16="http://schemas.microsoft.com/office/drawing/2014/chart" uri="{C3380CC4-5D6E-409C-BE32-E72D297353CC}">
              <c16:uniqueId val="{00000001-9D97-4067-AC7C-1E6F2E41D32F}"/>
            </c:ext>
          </c:extLst>
        </c:ser>
        <c:ser>
          <c:idx val="2"/>
          <c:order val="2"/>
          <c:tx>
            <c:v>Case 2B: changing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Case2B_Ruin_ChangingRates!$AC$27:$AC$59</c:f>
              <c:numCache>
                <c:formatCode>#,##0.0;\(#,##0.0\);\-</c:formatCode>
                <c:ptCount val="33"/>
                <c:pt idx="0">
                  <c:v>110</c:v>
                </c:pt>
                <c:pt idx="1">
                  <c:v>103.58399999999999</c:v>
                </c:pt>
                <c:pt idx="2">
                  <c:v>93.88263000000002</c:v>
                </c:pt>
                <c:pt idx="3">
                  <c:v>85.834629161250021</c:v>
                </c:pt>
                <c:pt idx="4">
                  <c:v>74.477544103829715</c:v>
                </c:pt>
                <c:pt idx="5">
                  <c:v>63.923066127386534</c:v>
                </c:pt>
                <c:pt idx="6">
                  <c:v>59.002417780571193</c:v>
                </c:pt>
                <c:pt idx="7">
                  <c:v>60.27247822508545</c:v>
                </c:pt>
                <c:pt idx="8">
                  <c:v>71.972710180712596</c:v>
                </c:pt>
                <c:pt idx="9">
                  <c:v>80.987167935230431</c:v>
                </c:pt>
                <c:pt idx="10">
                  <c:v>101.83180895327111</c:v>
                </c:pt>
                <c:pt idx="11">
                  <c:v>115.40529991203373</c:v>
                </c:pt>
                <c:pt idx="12">
                  <c:v>125.10616253516446</c:v>
                </c:pt>
                <c:pt idx="13">
                  <c:v>127.22818294840292</c:v>
                </c:pt>
                <c:pt idx="14">
                  <c:v>121.89591774458225</c:v>
                </c:pt>
                <c:pt idx="15">
                  <c:v>105.4381251129896</c:v>
                </c:pt>
                <c:pt idx="16">
                  <c:v>90.095923240814329</c:v>
                </c:pt>
                <c:pt idx="17">
                  <c:v>66.582681129936731</c:v>
                </c:pt>
                <c:pt idx="18">
                  <c:v>43.032686563834844</c:v>
                </c:pt>
                <c:pt idx="19">
                  <c:v>22.143678839852271</c:v>
                </c:pt>
                <c:pt idx="20">
                  <c:v>5.7568511028725311</c:v>
                </c:pt>
                <c:pt idx="21">
                  <c:v>-1.0775012362841068</c:v>
                </c:pt>
                <c:pt idx="22">
                  <c:v>0.73764159872210655</c:v>
                </c:pt>
                <c:pt idx="23">
                  <c:v>9.1725683657213182</c:v>
                </c:pt>
                <c:pt idx="24">
                  <c:v>26.591729698731839</c:v>
                </c:pt>
                <c:pt idx="25">
                  <c:v>49.489612708603417</c:v>
                </c:pt>
                <c:pt idx="26">
                  <c:v>75.823441570647773</c:v>
                </c:pt>
                <c:pt idx="27">
                  <c:v>104.22746070897932</c:v>
                </c:pt>
                <c:pt idx="28">
                  <c:v>129.0360950402636</c:v>
                </c:pt>
                <c:pt idx="29">
                  <c:v>152.16105793982251</c:v>
                </c:pt>
                <c:pt idx="30">
                  <c:v>169.10959362308199</c:v>
                </c:pt>
                <c:pt idx="31">
                  <c:v>183.41146410270255</c:v>
                </c:pt>
                <c:pt idx="32">
                  <c:v>186.23056570527012</c:v>
                </c:pt>
              </c:numCache>
            </c:numRef>
          </c:val>
          <c:smooth val="0"/>
          <c:extLst>
            <c:ext xmlns:c16="http://schemas.microsoft.com/office/drawing/2014/chart" uri="{C3380CC4-5D6E-409C-BE32-E72D297353CC}">
              <c16:uniqueId val="{00000002-9D97-4067-AC7C-1E6F2E41D32F}"/>
            </c:ext>
          </c:extLst>
        </c:ser>
        <c:ser>
          <c:idx val="3"/>
          <c:order val="3"/>
          <c:tx>
            <c:v>Case 2C: sell to fund</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Case2C_Changing_SellToFund!$AC$27:$AC$59</c:f>
              <c:numCache>
                <c:formatCode>#,##0.0;\(#,##0.0\);\-</c:formatCode>
                <c:ptCount val="33"/>
                <c:pt idx="0">
                  <c:v>110</c:v>
                </c:pt>
                <c:pt idx="1">
                  <c:v>103.58399999999999</c:v>
                </c:pt>
                <c:pt idx="2">
                  <c:v>93.88263000000002</c:v>
                </c:pt>
                <c:pt idx="3">
                  <c:v>85.834629161250021</c:v>
                </c:pt>
                <c:pt idx="4">
                  <c:v>74.477544103829715</c:v>
                </c:pt>
                <c:pt idx="5">
                  <c:v>63.923066127386534</c:v>
                </c:pt>
                <c:pt idx="6">
                  <c:v>59.002417780571193</c:v>
                </c:pt>
                <c:pt idx="7">
                  <c:v>60.27247822508545</c:v>
                </c:pt>
                <c:pt idx="8">
                  <c:v>71.972710180712596</c:v>
                </c:pt>
                <c:pt idx="9">
                  <c:v>80.987167935230431</c:v>
                </c:pt>
                <c:pt idx="10">
                  <c:v>101.83180895327111</c:v>
                </c:pt>
                <c:pt idx="11">
                  <c:v>115.40529991203373</c:v>
                </c:pt>
                <c:pt idx="12">
                  <c:v>125.10616253516446</c:v>
                </c:pt>
                <c:pt idx="13">
                  <c:v>127.22818294840292</c:v>
                </c:pt>
                <c:pt idx="14">
                  <c:v>121.89591774458225</c:v>
                </c:pt>
                <c:pt idx="15">
                  <c:v>105.4381251129896</c:v>
                </c:pt>
                <c:pt idx="16">
                  <c:v>90.095923240814329</c:v>
                </c:pt>
                <c:pt idx="17">
                  <c:v>66.582681129936731</c:v>
                </c:pt>
                <c:pt idx="18">
                  <c:v>43.032686563834844</c:v>
                </c:pt>
                <c:pt idx="19">
                  <c:v>22.143678839852271</c:v>
                </c:pt>
                <c:pt idx="20">
                  <c:v>5.7568511028725311</c:v>
                </c:pt>
                <c:pt idx="21">
                  <c:v>-1.0775012362841068</c:v>
                </c:pt>
                <c:pt idx="22">
                  <c:v>0.73764159872210655</c:v>
                </c:pt>
                <c:pt idx="23">
                  <c:v>9.1725683657213182</c:v>
                </c:pt>
                <c:pt idx="24">
                  <c:v>26.591729698731839</c:v>
                </c:pt>
                <c:pt idx="25">
                  <c:v>49.489612708603417</c:v>
                </c:pt>
                <c:pt idx="26">
                  <c:v>75.823441570647773</c:v>
                </c:pt>
                <c:pt idx="27">
                  <c:v>104.22746070897932</c:v>
                </c:pt>
                <c:pt idx="28">
                  <c:v>129.0360950402636</c:v>
                </c:pt>
                <c:pt idx="29">
                  <c:v>152.16105793982251</c:v>
                </c:pt>
                <c:pt idx="30">
                  <c:v>169.10959362308199</c:v>
                </c:pt>
                <c:pt idx="31">
                  <c:v>183.41146410270255</c:v>
                </c:pt>
                <c:pt idx="32">
                  <c:v>186.23056570527012</c:v>
                </c:pt>
              </c:numCache>
            </c:numRef>
          </c:val>
          <c:smooth val="0"/>
          <c:extLst>
            <c:ext xmlns:c16="http://schemas.microsoft.com/office/drawing/2014/chart" uri="{C3380CC4-5D6E-409C-BE32-E72D297353CC}">
              <c16:uniqueId val="{00000003-9D97-4067-AC7C-1E6F2E41D32F}"/>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numFmt formatCode="#,##0.0;\(#,##0.0\);\-" sourceLinked="1"/>
        <c:majorTickMark val="none"/>
        <c:minorTickMark val="none"/>
        <c:tickLblPos val="nextTo"/>
        <c:crossAx val="10"/>
        <c:crosses val="autoZero"/>
        <c:crossBetween val="between"/>
      </c:valAx>
    </c:plotArea>
    <c:legend>
      <c:legendPos val="b"/>
      <c:layout>
        <c:manualLayout>
          <c:xMode val="edge"/>
          <c:yMode val="edge"/>
          <c:x val="0.10615759259259257"/>
          <c:y val="0.76854374999999997"/>
          <c:w val="0.80649962962962962"/>
          <c:h val="0.11680347222222222"/>
        </c:manualLayout>
      </c:layout>
      <c:overlay val="1"/>
    </c:legend>
    <c:plotVisOnly val="1"/>
    <c:dispBlanksAs val="gap"/>
    <c:showDLblsOverMax val="1"/>
  </c:chart>
  <c:txPr>
    <a:bodyPr/>
    <a:lstStyle/>
    <a:p>
      <a:pPr>
        <a:defRPr>
          <a:latin typeface="Trebuchet MS" panose="020B0603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Position value carried forward ($mm)</a:t>
            </a:r>
          </a:p>
        </c:rich>
      </c:tx>
      <c:overlay val="1"/>
    </c:title>
    <c:autoTitleDeleted val="0"/>
    <c:plotArea>
      <c:layout/>
      <c:lineChart>
        <c:grouping val="standard"/>
        <c:varyColors val="1"/>
        <c:ser>
          <c:idx val="0"/>
          <c:order val="0"/>
          <c:tx>
            <c:v>Case 1: Calm</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Case1_Calm!$AH$27:$AH$59</c:f>
              <c:numCache>
                <c:formatCode>#,##0.0;\(#,##0.0\);\-</c:formatCode>
                <c:ptCount val="33"/>
                <c:pt idx="0">
                  <c:v>180</c:v>
                </c:pt>
                <c:pt idx="1">
                  <c:v>184.86</c:v>
                </c:pt>
                <c:pt idx="2">
                  <c:v>184.71600000000001</c:v>
                </c:pt>
                <c:pt idx="3">
                  <c:v>189.17999999999998</c:v>
                </c:pt>
                <c:pt idx="4">
                  <c:v>192.42000000000002</c:v>
                </c:pt>
                <c:pt idx="5">
                  <c:v>196.11000000000004</c:v>
                </c:pt>
                <c:pt idx="6">
                  <c:v>197.01000000000002</c:v>
                </c:pt>
                <c:pt idx="7">
                  <c:v>201.43800000000002</c:v>
                </c:pt>
                <c:pt idx="8">
                  <c:v>201.02400000000003</c:v>
                </c:pt>
                <c:pt idx="9">
                  <c:v>210.078</c:v>
                </c:pt>
                <c:pt idx="10">
                  <c:v>210.02400000000003</c:v>
                </c:pt>
                <c:pt idx="11">
                  <c:v>214.48800000000003</c:v>
                </c:pt>
                <c:pt idx="12">
                  <c:v>216.07200000000003</c:v>
                </c:pt>
                <c:pt idx="13">
                  <c:v>221.68800000000005</c:v>
                </c:pt>
                <c:pt idx="14">
                  <c:v>224.02800000000005</c:v>
                </c:pt>
                <c:pt idx="15">
                  <c:v>226.81800000000007</c:v>
                </c:pt>
                <c:pt idx="16">
                  <c:v>228.72600000000006</c:v>
                </c:pt>
                <c:pt idx="17">
                  <c:v>235.58400000000003</c:v>
                </c:pt>
                <c:pt idx="18">
                  <c:v>237.25800000000007</c:v>
                </c:pt>
                <c:pt idx="19">
                  <c:v>243.07200000000006</c:v>
                </c:pt>
                <c:pt idx="20">
                  <c:v>246.11400000000006</c:v>
                </c:pt>
                <c:pt idx="21">
                  <c:v>250.68600000000009</c:v>
                </c:pt>
                <c:pt idx="22">
                  <c:v>252.30600000000004</c:v>
                </c:pt>
                <c:pt idx="23">
                  <c:v>257.52600000000001</c:v>
                </c:pt>
                <c:pt idx="24">
                  <c:v>262.02600000000001</c:v>
                </c:pt>
                <c:pt idx="25">
                  <c:v>267.46200000000005</c:v>
                </c:pt>
                <c:pt idx="26">
                  <c:v>270.30599999999998</c:v>
                </c:pt>
                <c:pt idx="27">
                  <c:v>274.40999999999997</c:v>
                </c:pt>
                <c:pt idx="28">
                  <c:v>278.38799999999998</c:v>
                </c:pt>
                <c:pt idx="29">
                  <c:v>283.05</c:v>
                </c:pt>
                <c:pt idx="30">
                  <c:v>287.76600000000002</c:v>
                </c:pt>
                <c:pt idx="31">
                  <c:v>292.40999999999997</c:v>
                </c:pt>
                <c:pt idx="32">
                  <c:v>297</c:v>
                </c:pt>
              </c:numCache>
            </c:numRef>
          </c:val>
          <c:smooth val="0"/>
          <c:extLst>
            <c:ext xmlns:c16="http://schemas.microsoft.com/office/drawing/2014/chart" uri="{C3380CC4-5D6E-409C-BE32-E72D297353CC}">
              <c16:uniqueId val="{00000000-B339-4C29-88C0-3E4603DA9515}"/>
            </c:ext>
          </c:extLst>
        </c:ser>
        <c:ser>
          <c:idx val="1"/>
          <c:order val="1"/>
          <c:tx>
            <c:v>Case 2A: constant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Case2A_Ruin_ConstRates!$AH$27:$AH$59</c:f>
              <c:numCache>
                <c:formatCode>#,##0.0;\(#,##0.0\);\-</c:formatCode>
                <c:ptCount val="33"/>
                <c:pt idx="0">
                  <c:v>180</c:v>
                </c:pt>
                <c:pt idx="1">
                  <c:v>178.506</c:v>
                </c:pt>
                <c:pt idx="2">
                  <c:v>164.42999999999998</c:v>
                </c:pt>
                <c:pt idx="3">
                  <c:v>151.23599999999999</c:v>
                </c:pt>
                <c:pt idx="4">
                  <c:v>132.624</c:v>
                </c:pt>
                <c:pt idx="5">
                  <c:v>117.57599999999998</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smooth val="0"/>
          <c:extLst>
            <c:ext xmlns:c16="http://schemas.microsoft.com/office/drawing/2014/chart" uri="{C3380CC4-5D6E-409C-BE32-E72D297353CC}">
              <c16:uniqueId val="{00000001-B339-4C29-88C0-3E4603DA9515}"/>
            </c:ext>
          </c:extLst>
        </c:ser>
        <c:ser>
          <c:idx val="2"/>
          <c:order val="2"/>
          <c:tx>
            <c:v>Case 2B: changing rates</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Case2B_Ruin_ChangingRates!$AH$27:$AH$59</c:f>
              <c:numCache>
                <c:formatCode>#,##0.0;\(#,##0.0\);\-</c:formatCode>
                <c:ptCount val="33"/>
                <c:pt idx="0">
                  <c:v>180</c:v>
                </c:pt>
                <c:pt idx="1">
                  <c:v>173.934</c:v>
                </c:pt>
                <c:pt idx="2">
                  <c:v>164.73600000000002</c:v>
                </c:pt>
                <c:pt idx="3">
                  <c:v>157.30200000000002</c:v>
                </c:pt>
                <c:pt idx="4">
                  <c:v>146.70000000000002</c:v>
                </c:pt>
                <c:pt idx="5">
                  <c:v>137.07000000000002</c:v>
                </c:pt>
                <c:pt idx="6">
                  <c:v>133.20000000000002</c:v>
                </c:pt>
                <c:pt idx="7">
                  <c:v>135.57599999999999</c:v>
                </c:pt>
                <c:pt idx="8">
                  <c:v>148.392</c:v>
                </c:pt>
                <c:pt idx="9">
                  <c:v>158.45400000000001</c:v>
                </c:pt>
                <c:pt idx="10">
                  <c:v>180.21600000000001</c:v>
                </c:pt>
                <c:pt idx="11">
                  <c:v>194.4</c:v>
                </c:pt>
                <c:pt idx="12">
                  <c:v>204.53400000000002</c:v>
                </c:pt>
                <c:pt idx="13">
                  <c:v>207.00000000000003</c:v>
                </c:pt>
                <c:pt idx="14">
                  <c:v>201.97800000000001</c:v>
                </c:pt>
                <c:pt idx="15">
                  <c:v>186.06600000000003</c:v>
                </c:pt>
                <c:pt idx="16">
                  <c:v>171.59400000000002</c:v>
                </c:pt>
                <c:pt idx="17">
                  <c:v>149.31000000000003</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smooth val="0"/>
          <c:extLst>
            <c:ext xmlns:c16="http://schemas.microsoft.com/office/drawing/2014/chart" uri="{C3380CC4-5D6E-409C-BE32-E72D297353CC}">
              <c16:uniqueId val="{00000002-B339-4C29-88C0-3E4603DA9515}"/>
            </c:ext>
          </c:extLst>
        </c:ser>
        <c:ser>
          <c:idx val="3"/>
          <c:order val="3"/>
          <c:tx>
            <c:v>Case 2C: sell to fund</c:v>
          </c:tx>
          <c:spPr>
            <a:ln w="22000">
              <a:prstDash val="solid"/>
            </a:ln>
          </c:spPr>
          <c:marker>
            <c:symbol val="none"/>
          </c:marker>
          <c:cat>
            <c:numRef>
              <c:f>Case1_Calm!$A$27:$A$59</c:f>
              <c:numCache>
                <c:formatCode>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Case2C_Changing_SellToFund!$AH$27:$AH$59</c:f>
              <c:numCache>
                <c:formatCode>#,##0.0;\(#,##0.0\);\-</c:formatCode>
                <c:ptCount val="33"/>
                <c:pt idx="0">
                  <c:v>180</c:v>
                </c:pt>
                <c:pt idx="1">
                  <c:v>173.934</c:v>
                </c:pt>
                <c:pt idx="2">
                  <c:v>164.73600000000002</c:v>
                </c:pt>
                <c:pt idx="3">
                  <c:v>157.30200000000002</c:v>
                </c:pt>
                <c:pt idx="4">
                  <c:v>146.70000000000002</c:v>
                </c:pt>
                <c:pt idx="5">
                  <c:v>137.07000000000002</c:v>
                </c:pt>
                <c:pt idx="6">
                  <c:v>133.20000000000002</c:v>
                </c:pt>
                <c:pt idx="7">
                  <c:v>135.57599999999999</c:v>
                </c:pt>
                <c:pt idx="8">
                  <c:v>148.392</c:v>
                </c:pt>
                <c:pt idx="9">
                  <c:v>158.45400000000001</c:v>
                </c:pt>
                <c:pt idx="10">
                  <c:v>180.21600000000001</c:v>
                </c:pt>
                <c:pt idx="11">
                  <c:v>194.4</c:v>
                </c:pt>
                <c:pt idx="12">
                  <c:v>204.53400000000002</c:v>
                </c:pt>
                <c:pt idx="13">
                  <c:v>207.00000000000003</c:v>
                </c:pt>
                <c:pt idx="14">
                  <c:v>201.97800000000001</c:v>
                </c:pt>
                <c:pt idx="15">
                  <c:v>186.06600000000003</c:v>
                </c:pt>
                <c:pt idx="16">
                  <c:v>171.59400000000002</c:v>
                </c:pt>
                <c:pt idx="17">
                  <c:v>149.31000000000003</c:v>
                </c:pt>
                <c:pt idx="18">
                  <c:v>71.099736783974862</c:v>
                </c:pt>
                <c:pt idx="19">
                  <c:v>43.090569761772358</c:v>
                </c:pt>
                <c:pt idx="20">
                  <c:v>27.268212617233484</c:v>
                </c:pt>
                <c:pt idx="21">
                  <c:v>23.315166964160802</c:v>
                </c:pt>
                <c:pt idx="22">
                  <c:v>24.457610145404686</c:v>
                </c:pt>
                <c:pt idx="23">
                  <c:v>27.316049615210797</c:v>
                </c:pt>
                <c:pt idx="24">
                  <c:v>32.482690614468829</c:v>
                </c:pt>
                <c:pt idx="25">
                  <c:v>39.024926464612349</c:v>
                </c:pt>
                <c:pt idx="26">
                  <c:v>46.397182258679997</c:v>
                </c:pt>
                <c:pt idx="27">
                  <c:v>54.23574139203086</c:v>
                </c:pt>
                <c:pt idx="28">
                  <c:v>61.067085312529983</c:v>
                </c:pt>
                <c:pt idx="29">
                  <c:v>67.394821626603218</c:v>
                </c:pt>
                <c:pt idx="30">
                  <c:v>72.06251805282821</c:v>
                </c:pt>
                <c:pt idx="31">
                  <c:v>76.00278126977139</c:v>
                </c:pt>
                <c:pt idx="32">
                  <c:v>76.94005098173065</c:v>
                </c:pt>
              </c:numCache>
            </c:numRef>
          </c:val>
          <c:smooth val="0"/>
          <c:extLst>
            <c:ext xmlns:c16="http://schemas.microsoft.com/office/drawing/2014/chart" uri="{C3380CC4-5D6E-409C-BE32-E72D297353CC}">
              <c16:uniqueId val="{00000003-B339-4C29-88C0-3E4603DA9515}"/>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numFmt formatCode="#,##0.0;\(#,##0.0\);\-" sourceLinked="1"/>
        <c:majorTickMark val="none"/>
        <c:minorTickMark val="none"/>
        <c:tickLblPos val="nextTo"/>
        <c:crossAx val="10"/>
        <c:crosses val="autoZero"/>
        <c:crossBetween val="between"/>
      </c:valAx>
    </c:plotArea>
    <c:legend>
      <c:legendPos val="b"/>
      <c:layout>
        <c:manualLayout>
          <c:xMode val="edge"/>
          <c:yMode val="edge"/>
          <c:x val="0.10850944444444442"/>
          <c:y val="9.826597222222222E-2"/>
          <c:w val="0.69831444444444457"/>
          <c:h val="0.14767152777777778"/>
        </c:manualLayout>
      </c:layout>
      <c:overlay val="1"/>
    </c:legend>
    <c:plotVisOnly val="1"/>
    <c:dispBlanksAs val="gap"/>
    <c:showDLblsOverMax val="1"/>
  </c:chart>
  <c:txPr>
    <a:bodyPr/>
    <a:lstStyle/>
    <a:p>
      <a:pPr>
        <a:defRPr>
          <a:latin typeface="Trebuchet MS" panose="020B0603020202020204" pitchFamily="34"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7</xdr:col>
      <xdr:colOff>0</xdr:colOff>
      <xdr:row>4</xdr:row>
      <xdr:rowOff>0</xdr:rowOff>
    </xdr:from>
    <xdr:ext cx="7200000" cy="34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4</xdr:row>
      <xdr:rowOff>0</xdr:rowOff>
    </xdr:from>
    <xdr:ext cx="7200000" cy="34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4</xdr:row>
      <xdr:rowOff>0</xdr:rowOff>
    </xdr:from>
    <xdr:ext cx="7200000" cy="34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7</xdr:col>
      <xdr:colOff>0</xdr:colOff>
      <xdr:row>4</xdr:row>
      <xdr:rowOff>0</xdr:rowOff>
    </xdr:from>
    <xdr:ext cx="7200000" cy="342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25</xdr:row>
      <xdr:rowOff>0</xdr:rowOff>
    </xdr:from>
    <xdr:ext cx="5400000" cy="288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25</xdr:row>
      <xdr:rowOff>0</xdr:rowOff>
    </xdr:from>
    <xdr:ext cx="5400000" cy="288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42</xdr:row>
      <xdr:rowOff>0</xdr:rowOff>
    </xdr:from>
    <xdr:ext cx="5400000" cy="2880000"/>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3</xdr:col>
      <xdr:colOff>0</xdr:colOff>
      <xdr:row>42</xdr:row>
      <xdr:rowOff>0</xdr:rowOff>
    </xdr:from>
    <xdr:ext cx="5400000" cy="2880000"/>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59</xdr:row>
      <xdr:rowOff>0</xdr:rowOff>
    </xdr:from>
    <xdr:ext cx="5400000" cy="2880000"/>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3</xdr:col>
      <xdr:colOff>0</xdr:colOff>
      <xdr:row>59</xdr:row>
      <xdr:rowOff>0</xdr:rowOff>
    </xdr:from>
    <xdr:ext cx="5400000" cy="2880000"/>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76</xdr:row>
      <xdr:rowOff>0</xdr:rowOff>
    </xdr:from>
    <xdr:ext cx="5400000" cy="2880000"/>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55"/>
  <sheetViews>
    <sheetView showGridLines="0" workbookViewId="0">
      <selection activeCell="B2" sqref="B2"/>
    </sheetView>
  </sheetViews>
  <sheetFormatPr defaultRowHeight="14.5" x14ac:dyDescent="0.35"/>
  <cols>
    <col min="1" max="1" width="2" customWidth="1"/>
    <col min="2" max="2" width="120" customWidth="1"/>
  </cols>
  <sheetData>
    <row r="1" spans="2:2" ht="19" x14ac:dyDescent="0.45">
      <c r="B1" s="1" t="s">
        <v>0</v>
      </c>
    </row>
    <row r="2" spans="2:2" x14ac:dyDescent="0.35">
      <c r="B2" s="2" t="s">
        <v>1</v>
      </c>
    </row>
    <row r="4" spans="2:2" x14ac:dyDescent="0.35">
      <c r="B4" s="3" t="s">
        <v>2</v>
      </c>
    </row>
    <row r="5" spans="2:2" x14ac:dyDescent="0.35">
      <c r="B5" s="4" t="s">
        <v>3</v>
      </c>
    </row>
    <row r="6" spans="2:2" x14ac:dyDescent="0.35">
      <c r="B6" s="4" t="s">
        <v>4</v>
      </c>
    </row>
    <row r="7" spans="2:2" x14ac:dyDescent="0.35">
      <c r="B7" s="4" t="s">
        <v>5</v>
      </c>
    </row>
    <row r="8" spans="2:2" x14ac:dyDescent="0.35">
      <c r="B8" s="4" t="s">
        <v>6</v>
      </c>
    </row>
    <row r="9" spans="2:2" x14ac:dyDescent="0.35">
      <c r="B9" s="4" t="s">
        <v>7</v>
      </c>
    </row>
    <row r="10" spans="2:2" x14ac:dyDescent="0.35">
      <c r="B10" s="4" t="s">
        <v>8</v>
      </c>
    </row>
    <row r="11" spans="2:2" x14ac:dyDescent="0.35">
      <c r="B11" s="4" t="s">
        <v>9</v>
      </c>
    </row>
    <row r="12" spans="2:2" x14ac:dyDescent="0.35">
      <c r="B12" s="4" t="s">
        <v>10</v>
      </c>
    </row>
    <row r="13" spans="2:2" x14ac:dyDescent="0.35">
      <c r="B13" s="4" t="s">
        <v>11</v>
      </c>
    </row>
    <row r="14" spans="2:2" x14ac:dyDescent="0.35">
      <c r="B14" s="4" t="s">
        <v>12</v>
      </c>
    </row>
    <row r="16" spans="2:2" x14ac:dyDescent="0.35">
      <c r="B16" s="3" t="s">
        <v>3</v>
      </c>
    </row>
    <row r="17" spans="2:2" ht="45" customHeight="1" x14ac:dyDescent="0.35">
      <c r="B17" s="5" t="s">
        <v>13</v>
      </c>
    </row>
    <row r="18" spans="2:2" ht="45" customHeight="1" x14ac:dyDescent="0.35">
      <c r="B18" s="5" t="s">
        <v>14</v>
      </c>
    </row>
    <row r="20" spans="2:2" x14ac:dyDescent="0.35">
      <c r="B20" s="3" t="s">
        <v>4</v>
      </c>
    </row>
    <row r="21" spans="2:2" ht="60" customHeight="1" x14ac:dyDescent="0.35">
      <c r="B21" s="5" t="s">
        <v>15</v>
      </c>
    </row>
    <row r="22" spans="2:2" ht="60" customHeight="1" x14ac:dyDescent="0.35">
      <c r="B22" s="5" t="s">
        <v>16</v>
      </c>
    </row>
    <row r="23" spans="2:2" ht="30" customHeight="1" x14ac:dyDescent="0.35">
      <c r="B23" s="5" t="s">
        <v>17</v>
      </c>
    </row>
    <row r="25" spans="2:2" x14ac:dyDescent="0.35">
      <c r="B25" s="3" t="s">
        <v>5</v>
      </c>
    </row>
    <row r="26" spans="2:2" ht="45" customHeight="1" x14ac:dyDescent="0.35">
      <c r="B26" s="5" t="s">
        <v>18</v>
      </c>
    </row>
    <row r="28" spans="2:2" x14ac:dyDescent="0.35">
      <c r="B28" s="3" t="s">
        <v>6</v>
      </c>
    </row>
    <row r="29" spans="2:2" ht="60" customHeight="1" x14ac:dyDescent="0.35">
      <c r="B29" s="5" t="s">
        <v>19</v>
      </c>
    </row>
    <row r="30" spans="2:2" ht="30" customHeight="1" x14ac:dyDescent="0.35">
      <c r="B30" s="5" t="s">
        <v>20</v>
      </c>
    </row>
    <row r="32" spans="2:2" x14ac:dyDescent="0.35">
      <c r="B32" s="3" t="s">
        <v>7</v>
      </c>
    </row>
    <row r="33" spans="2:2" ht="75" customHeight="1" x14ac:dyDescent="0.35">
      <c r="B33" s="5" t="s">
        <v>21</v>
      </c>
    </row>
    <row r="34" spans="2:2" ht="45" customHeight="1" x14ac:dyDescent="0.35">
      <c r="B34" s="5" t="s">
        <v>22</v>
      </c>
    </row>
    <row r="36" spans="2:2" x14ac:dyDescent="0.35">
      <c r="B36" s="3" t="s">
        <v>8</v>
      </c>
    </row>
    <row r="37" spans="2:2" ht="75" customHeight="1" x14ac:dyDescent="0.35">
      <c r="B37" s="5" t="s">
        <v>23</v>
      </c>
    </row>
    <row r="38" spans="2:2" ht="60" customHeight="1" x14ac:dyDescent="0.35">
      <c r="B38" s="5" t="s">
        <v>24</v>
      </c>
    </row>
    <row r="40" spans="2:2" x14ac:dyDescent="0.35">
      <c r="B40" s="3" t="s">
        <v>9</v>
      </c>
    </row>
    <row r="41" spans="2:2" ht="15" customHeight="1" x14ac:dyDescent="0.35">
      <c r="B41" s="5" t="s">
        <v>25</v>
      </c>
    </row>
    <row r="42" spans="2:2" ht="30" customHeight="1" x14ac:dyDescent="0.35">
      <c r="B42" s="5" t="s">
        <v>26</v>
      </c>
    </row>
    <row r="43" spans="2:2" ht="30" customHeight="1" x14ac:dyDescent="0.35">
      <c r="B43" s="5" t="s">
        <v>27</v>
      </c>
    </row>
    <row r="44" spans="2:2" ht="30" customHeight="1" x14ac:dyDescent="0.35">
      <c r="B44" s="5" t="s">
        <v>28</v>
      </c>
    </row>
    <row r="45" spans="2:2" ht="105" customHeight="1" x14ac:dyDescent="0.35">
      <c r="B45" s="5" t="s">
        <v>29</v>
      </c>
    </row>
    <row r="46" spans="2:2" ht="30" customHeight="1" x14ac:dyDescent="0.35">
      <c r="B46" s="5" t="s">
        <v>30</v>
      </c>
    </row>
    <row r="48" spans="2:2" x14ac:dyDescent="0.35">
      <c r="B48" s="3" t="s">
        <v>10</v>
      </c>
    </row>
    <row r="49" spans="2:2" ht="75" customHeight="1" x14ac:dyDescent="0.35">
      <c r="B49" s="5" t="s">
        <v>31</v>
      </c>
    </row>
    <row r="51" spans="2:2" x14ac:dyDescent="0.35">
      <c r="B51" s="3" t="s">
        <v>11</v>
      </c>
    </row>
    <row r="52" spans="2:2" ht="30" customHeight="1" x14ac:dyDescent="0.35">
      <c r="B52" s="5" t="s">
        <v>32</v>
      </c>
    </row>
    <row r="54" spans="2:2" x14ac:dyDescent="0.35">
      <c r="B54" s="3" t="s">
        <v>12</v>
      </c>
    </row>
    <row r="55" spans="2:2" ht="45" customHeight="1" x14ac:dyDescent="0.35">
      <c r="B55" s="5" t="s">
        <v>33</v>
      </c>
    </row>
  </sheetData>
  <hyperlinks>
    <hyperlink ref="B5" location="README!B16" display="The trade" xr:uid="{00000000-0004-0000-0000-000000000000}"/>
    <hyperlink ref="B6" location="README!B20" display="How this differs from file 22" xr:uid="{00000000-0004-0000-0000-000001000000}"/>
    <hyperlink ref="B7" location="README!B25" display="Case 1 - Calm" xr:uid="{00000000-0004-0000-0000-000002000000}"/>
    <hyperlink ref="B8" location="README!B28" display="Case 2A - Ruin with constant margin and financing rates" xr:uid="{00000000-0004-0000-0000-000003000000}"/>
    <hyperlink ref="B9" location="README!B32" display="Case 2B - Ruin with changing margin and financing rates" xr:uid="{00000000-0004-0000-0000-000004000000}"/>
    <hyperlink ref="B10" location="README!B36" display="Case 2C - Changing rates, sell to fund" xr:uid="{00000000-0004-0000-0000-000005000000}"/>
    <hyperlink ref="B11" location="README!B40" display="How the model works (each period)" xr:uid="{00000000-0004-0000-0000-000006000000}"/>
    <hyperlink ref="B12" location="README!B48" display="Sheets" xr:uid="{00000000-0004-0000-0000-000007000000}"/>
    <hyperlink ref="B13" location="README!B51" display="Colour legend" xr:uid="{00000000-0004-0000-0000-000008000000}"/>
    <hyperlink ref="B14" location="README!B54" display="Caveats" xr:uid="{00000000-0004-0000-0000-00000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showGridLines="0" workbookViewId="0">
      <selection activeCell="C16" sqref="C16"/>
    </sheetView>
  </sheetViews>
  <sheetFormatPr defaultRowHeight="14.5" x14ac:dyDescent="0.35"/>
  <cols>
    <col min="1" max="1" width="2" customWidth="1"/>
    <col min="2" max="2" width="52" customWidth="1"/>
    <col min="3" max="3" width="22" customWidth="1"/>
    <col min="4" max="4" width="90" customWidth="1"/>
    <col min="5" max="5" width="28" customWidth="1"/>
  </cols>
  <sheetData>
    <row r="1" spans="1:5" ht="19" x14ac:dyDescent="0.45">
      <c r="A1" s="1" t="s">
        <v>34</v>
      </c>
    </row>
    <row r="2" spans="1:5" x14ac:dyDescent="0.35">
      <c r="A2" s="2" t="s">
        <v>35</v>
      </c>
    </row>
    <row r="4" spans="1:5" ht="30" customHeight="1" x14ac:dyDescent="0.35">
      <c r="B4" s="6" t="s">
        <v>36</v>
      </c>
      <c r="C4" s="6" t="s">
        <v>37</v>
      </c>
      <c r="D4" s="6" t="s">
        <v>38</v>
      </c>
      <c r="E4" s="6" t="s">
        <v>39</v>
      </c>
    </row>
    <row r="5" spans="1:5" x14ac:dyDescent="0.35">
      <c r="B5" s="7" t="s">
        <v>40</v>
      </c>
      <c r="C5" s="8" t="s">
        <v>41</v>
      </c>
      <c r="D5" s="9" t="s">
        <v>42</v>
      </c>
      <c r="E5" s="10" t="s">
        <v>43</v>
      </c>
    </row>
    <row r="6" spans="1:5" x14ac:dyDescent="0.35">
      <c r="B6" s="7" t="s">
        <v>44</v>
      </c>
      <c r="C6" s="11">
        <v>4</v>
      </c>
      <c r="D6" s="9" t="s">
        <v>45</v>
      </c>
      <c r="E6" s="10" t="s">
        <v>46</v>
      </c>
    </row>
    <row r="7" spans="1:5" x14ac:dyDescent="0.35">
      <c r="B7" s="7" t="s">
        <v>47</v>
      </c>
      <c r="C7" s="12">
        <f>1/Periods_per_Year</f>
        <v>0.25</v>
      </c>
      <c r="D7" s="9" t="s">
        <v>48</v>
      </c>
      <c r="E7" s="10" t="s">
        <v>49</v>
      </c>
    </row>
    <row r="9" spans="1:5" x14ac:dyDescent="0.35">
      <c r="B9" s="7" t="s">
        <v>50</v>
      </c>
      <c r="C9" s="13">
        <v>100</v>
      </c>
      <c r="D9" s="9" t="s">
        <v>51</v>
      </c>
      <c r="E9" s="10" t="s">
        <v>52</v>
      </c>
    </row>
    <row r="10" spans="1:5" x14ac:dyDescent="0.35">
      <c r="B10" s="7" t="s">
        <v>53</v>
      </c>
      <c r="C10" s="14">
        <v>10</v>
      </c>
      <c r="D10" s="9" t="s">
        <v>54</v>
      </c>
      <c r="E10" s="10" t="s">
        <v>55</v>
      </c>
    </row>
    <row r="11" spans="1:5" x14ac:dyDescent="0.35">
      <c r="B11" s="7" t="s">
        <v>56</v>
      </c>
      <c r="C11" s="15">
        <v>1.8</v>
      </c>
      <c r="D11" s="9" t="s">
        <v>57</v>
      </c>
      <c r="E11" s="10" t="s">
        <v>58</v>
      </c>
    </row>
    <row r="12" spans="1:5" x14ac:dyDescent="0.35">
      <c r="B12" s="7" t="s">
        <v>59</v>
      </c>
      <c r="C12" s="16">
        <f>Starting_Equity*Gross_Leverage</f>
        <v>180</v>
      </c>
      <c r="D12" s="9" t="s">
        <v>60</v>
      </c>
      <c r="E12" s="10" t="s">
        <v>61</v>
      </c>
    </row>
    <row r="13" spans="1:5" x14ac:dyDescent="0.35">
      <c r="B13" s="7" t="s">
        <v>62</v>
      </c>
      <c r="C13" s="16">
        <f>Initial_Position_Value-Starting_Equity</f>
        <v>80</v>
      </c>
      <c r="D13" s="9" t="s">
        <v>63</v>
      </c>
      <c r="E13" s="10" t="s">
        <v>64</v>
      </c>
    </row>
    <row r="14" spans="1:5" x14ac:dyDescent="0.35">
      <c r="B14" s="7" t="s">
        <v>65</v>
      </c>
      <c r="C14" s="17">
        <v>100</v>
      </c>
      <c r="D14" s="9" t="s">
        <v>66</v>
      </c>
      <c r="E14" s="10" t="s">
        <v>67</v>
      </c>
    </row>
    <row r="15" spans="1:5" x14ac:dyDescent="0.35">
      <c r="B15" s="7" t="s">
        <v>68</v>
      </c>
      <c r="C15" s="17">
        <v>165</v>
      </c>
      <c r="D15" s="9" t="s">
        <v>69</v>
      </c>
      <c r="E15" s="10" t="s">
        <v>70</v>
      </c>
    </row>
    <row r="16" spans="1:5" x14ac:dyDescent="0.35">
      <c r="B16" s="7" t="s">
        <v>71</v>
      </c>
      <c r="C16" s="18">
        <v>0.03</v>
      </c>
      <c r="D16" s="9" t="s">
        <v>72</v>
      </c>
      <c r="E16" s="10" t="s">
        <v>73</v>
      </c>
    </row>
    <row r="17" spans="2:5" ht="27" x14ac:dyDescent="0.35">
      <c r="B17" s="7" t="s">
        <v>74</v>
      </c>
      <c r="C17" s="18">
        <v>0.15</v>
      </c>
      <c r="D17" s="9" t="s">
        <v>75</v>
      </c>
      <c r="E17" s="10" t="s">
        <v>76</v>
      </c>
    </row>
    <row r="18" spans="2:5" x14ac:dyDescent="0.35">
      <c r="B18" s="7" t="s">
        <v>77</v>
      </c>
      <c r="C18" s="19">
        <v>0.3</v>
      </c>
      <c r="D18" s="9" t="s">
        <v>78</v>
      </c>
      <c r="E18" s="10" t="s">
        <v>79</v>
      </c>
    </row>
    <row r="19" spans="2:5" x14ac:dyDescent="0.35">
      <c r="B19" s="7" t="s">
        <v>80</v>
      </c>
      <c r="C19" s="16">
        <f>Initial_Margin_Rate*Initial_Position_Value</f>
        <v>54</v>
      </c>
      <c r="D19" s="9" t="s">
        <v>48</v>
      </c>
      <c r="E19" s="10" t="s">
        <v>81</v>
      </c>
    </row>
    <row r="20" spans="2:5" x14ac:dyDescent="0.35">
      <c r="B20" s="7" t="s">
        <v>82</v>
      </c>
      <c r="C20" s="20" t="str">
        <f>IF(Starting_Equity&gt;=Initial_Margin_Req,"OK","INSUFFICIENT EQUITY")</f>
        <v>OK</v>
      </c>
      <c r="D20" s="9" t="s">
        <v>48</v>
      </c>
      <c r="E20" s="21"/>
    </row>
    <row r="21" spans="2:5" x14ac:dyDescent="0.35">
      <c r="B21" s="7" t="s">
        <v>83</v>
      </c>
      <c r="C21" s="18">
        <v>0.08</v>
      </c>
      <c r="D21" s="9" t="s">
        <v>84</v>
      </c>
      <c r="E21" s="10" t="s">
        <v>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9"/>
  <sheetViews>
    <sheetView showGridLines="0" zoomScale="50" zoomScaleNormal="50" workbookViewId="0">
      <pane xSplit="2" ySplit="26" topLeftCell="C27" activePane="bottomRight" state="frozen"/>
      <selection pane="topRight"/>
      <selection pane="bottomLeft"/>
      <selection pane="bottomRight" activeCell="W38" sqref="W38"/>
    </sheetView>
  </sheetViews>
  <sheetFormatPr defaultRowHeight="14.5" x14ac:dyDescent="0.35"/>
  <cols>
    <col min="1" max="1" width="5" customWidth="1"/>
    <col min="2" max="3" width="11" customWidth="1"/>
    <col min="4" max="4" width="12" customWidth="1"/>
    <col min="5" max="7" width="11" customWidth="1"/>
    <col min="8" max="9" width="13" customWidth="1"/>
    <col min="10" max="12" width="11" customWidth="1"/>
    <col min="13" max="13" width="13" customWidth="1"/>
    <col min="14" max="16" width="12" customWidth="1"/>
    <col min="17" max="17" width="11" customWidth="1"/>
    <col min="18" max="23" width="12" customWidth="1"/>
    <col min="24" max="24" width="11" customWidth="1"/>
    <col min="25" max="25" width="30" customWidth="1"/>
    <col min="26" max="26" width="14" customWidth="1"/>
    <col min="27" max="27" width="13" customWidth="1"/>
    <col min="28" max="28" width="12" customWidth="1"/>
    <col min="29" max="29" width="15" customWidth="1"/>
    <col min="30" max="30" width="13" customWidth="1"/>
    <col min="31" max="31" width="11" customWidth="1"/>
    <col min="32" max="32" width="9" customWidth="1"/>
    <col min="33" max="33" width="16" customWidth="1"/>
    <col min="34" max="34" width="17" customWidth="1"/>
    <col min="35" max="35" width="11" customWidth="1"/>
  </cols>
  <sheetData>
    <row r="1" spans="1:17" ht="19" x14ac:dyDescent="0.45">
      <c r="A1" s="1" t="s">
        <v>86</v>
      </c>
    </row>
    <row r="2" spans="1:17" x14ac:dyDescent="0.35">
      <c r="A2" s="2" t="s">
        <v>87</v>
      </c>
    </row>
    <row r="3" spans="1:17" ht="48" customHeight="1" x14ac:dyDescent="0.35">
      <c r="A3" s="38" t="s">
        <v>18</v>
      </c>
      <c r="B3" s="39"/>
      <c r="C3" s="39"/>
      <c r="D3" s="39"/>
      <c r="E3" s="39"/>
      <c r="F3" s="39"/>
      <c r="G3" s="39"/>
      <c r="H3" s="39"/>
      <c r="I3" s="39"/>
      <c r="J3" s="39"/>
      <c r="K3" s="39"/>
      <c r="L3" s="39"/>
      <c r="M3" s="39"/>
      <c r="N3" s="39"/>
      <c r="O3" s="39"/>
      <c r="P3" s="39"/>
      <c r="Q3" s="39"/>
    </row>
    <row r="4" spans="1:17" ht="42" customHeight="1" x14ac:dyDescent="0.35">
      <c r="A4" s="45" t="s">
        <v>88</v>
      </c>
      <c r="B4" s="39"/>
      <c r="C4" s="39"/>
      <c r="D4" s="22">
        <v>0</v>
      </c>
    </row>
    <row r="5" spans="1:17" x14ac:dyDescent="0.35">
      <c r="A5" s="3" t="s">
        <v>89</v>
      </c>
      <c r="B5" s="23"/>
      <c r="C5" s="23"/>
      <c r="D5" s="23"/>
      <c r="E5" s="23"/>
      <c r="F5" s="23"/>
    </row>
    <row r="6" spans="1:17" x14ac:dyDescent="0.35">
      <c r="A6" s="42" t="s">
        <v>90</v>
      </c>
      <c r="B6" s="41"/>
      <c r="C6" s="41"/>
      <c r="D6" s="40">
        <f>Starting_Equity+Liquidity_Reserve_0</f>
        <v>110</v>
      </c>
      <c r="E6" s="41"/>
      <c r="F6" s="41"/>
    </row>
    <row r="7" spans="1:17" x14ac:dyDescent="0.35">
      <c r="A7" s="42" t="s">
        <v>91</v>
      </c>
      <c r="B7" s="41"/>
      <c r="C7" s="41"/>
      <c r="D7" s="40">
        <f>Z59</f>
        <v>231.13294419487346</v>
      </c>
      <c r="E7" s="41"/>
      <c r="F7" s="41"/>
    </row>
    <row r="8" spans="1:17" x14ac:dyDescent="0.35">
      <c r="A8" s="42" t="s">
        <v>92</v>
      </c>
      <c r="B8" s="41"/>
      <c r="C8" s="41"/>
      <c r="D8" s="46">
        <f>D7/D6-1</f>
        <v>1.1012085835897589</v>
      </c>
      <c r="E8" s="41"/>
      <c r="F8" s="41"/>
    </row>
    <row r="9" spans="1:17" x14ac:dyDescent="0.35">
      <c r="A9" s="42" t="s">
        <v>93</v>
      </c>
      <c r="B9" s="41"/>
      <c r="C9" s="41"/>
      <c r="D9" s="46">
        <f>MIN(AE27:AE59)</f>
        <v>-4.0775295032166037E-3</v>
      </c>
      <c r="E9" s="41"/>
      <c r="F9" s="41"/>
    </row>
    <row r="10" spans="1:17" x14ac:dyDescent="0.35">
      <c r="A10" s="42" t="s">
        <v>94</v>
      </c>
      <c r="B10" s="41"/>
      <c r="C10" s="41"/>
      <c r="D10" s="43">
        <f>COUNTIF(Q28:Q59,"&gt;0")</f>
        <v>0</v>
      </c>
      <c r="E10" s="41"/>
      <c r="F10" s="41"/>
    </row>
    <row r="11" spans="1:17" x14ac:dyDescent="0.35">
      <c r="A11" s="42" t="s">
        <v>95</v>
      </c>
      <c r="B11" s="41"/>
      <c r="C11" s="41"/>
      <c r="D11" s="40">
        <f>SUM(R28:R59)</f>
        <v>0</v>
      </c>
      <c r="E11" s="41"/>
      <c r="F11" s="41"/>
    </row>
    <row r="12" spans="1:17" x14ac:dyDescent="0.35">
      <c r="A12" s="42" t="s">
        <v>96</v>
      </c>
      <c r="B12" s="41"/>
      <c r="C12" s="41"/>
      <c r="D12" s="40">
        <f>MIN(W27:W59)</f>
        <v>10</v>
      </c>
      <c r="E12" s="41"/>
      <c r="F12" s="41"/>
    </row>
    <row r="13" spans="1:17" x14ac:dyDescent="0.35">
      <c r="A13" s="42" t="s">
        <v>97</v>
      </c>
      <c r="B13" s="41"/>
      <c r="C13" s="41"/>
      <c r="D13" s="43" t="str">
        <f>IFERROR(INDEX(A27:A59,MATCH(1,AF27:AF59,0)),"None")</f>
        <v>None</v>
      </c>
      <c r="E13" s="41"/>
      <c r="F13" s="41"/>
    </row>
    <row r="14" spans="1:17" x14ac:dyDescent="0.35">
      <c r="A14" s="42" t="s">
        <v>98</v>
      </c>
      <c r="B14" s="41"/>
      <c r="C14" s="41"/>
      <c r="D14" s="44" t="str">
        <f>IF(ISNUMBER(D13),"RUIN: forced out, "&amp;LOWER(Period_Unit)&amp;" "&amp;D13,IF(D21&gt;0,"SURVIVED: "&amp;D21&amp;" partial sale"&amp;IF(D21&gt;1,"s",""),"SURVIVED to convergence"))</f>
        <v>SURVIVED to convergence</v>
      </c>
      <c r="E14" s="41"/>
      <c r="F14" s="41"/>
    </row>
    <row r="15" spans="1:17" x14ac:dyDescent="0.35">
      <c r="A15" s="42" t="s">
        <v>99</v>
      </c>
      <c r="B15" s="41"/>
      <c r="C15" s="41"/>
      <c r="D15" s="46">
        <f>MAX(D27:D59)</f>
        <v>0.3</v>
      </c>
      <c r="E15" s="41"/>
      <c r="F15" s="41"/>
    </row>
    <row r="16" spans="1:17" x14ac:dyDescent="0.35">
      <c r="A16" s="42" t="s">
        <v>100</v>
      </c>
      <c r="B16" s="41"/>
      <c r="C16" s="41"/>
      <c r="D16" s="46">
        <f>MAX(E27:E59)</f>
        <v>0.08</v>
      </c>
      <c r="E16" s="41"/>
      <c r="F16" s="41"/>
    </row>
    <row r="17" spans="1:35" x14ac:dyDescent="0.35">
      <c r="A17" s="42" t="s">
        <v>101</v>
      </c>
      <c r="B17" s="41"/>
      <c r="C17" s="41"/>
      <c r="D17" s="40">
        <f>AC59</f>
        <v>231.13294419487343</v>
      </c>
      <c r="E17" s="41"/>
      <c r="F17" s="41"/>
    </row>
    <row r="18" spans="1:35" x14ac:dyDescent="0.35">
      <c r="A18" s="42" t="s">
        <v>102</v>
      </c>
      <c r="B18" s="41"/>
      <c r="C18" s="41"/>
      <c r="D18" s="46">
        <f>D17/D6-1</f>
        <v>1.1012085835897585</v>
      </c>
      <c r="E18" s="41"/>
      <c r="F18" s="41"/>
    </row>
    <row r="19" spans="1:35" x14ac:dyDescent="0.35">
      <c r="A19" s="42" t="s">
        <v>103</v>
      </c>
      <c r="B19" s="41"/>
      <c r="C19" s="41"/>
      <c r="D19" s="44" t="str">
        <f>IF(D17&gt;D6,IF(ISNUMBER(D13),"Yes - but only after forced exit","Yes"),"No")</f>
        <v>Yes</v>
      </c>
      <c r="E19" s="41"/>
      <c r="F19" s="41"/>
    </row>
    <row r="20" spans="1:35" x14ac:dyDescent="0.35">
      <c r="A20" s="42" t="s">
        <v>104</v>
      </c>
      <c r="B20" s="41"/>
      <c r="C20" s="41"/>
      <c r="D20" s="40">
        <f>D17-D7</f>
        <v>0</v>
      </c>
      <c r="E20" s="41"/>
      <c r="F20" s="41"/>
    </row>
    <row r="21" spans="1:35" x14ac:dyDescent="0.35">
      <c r="A21" s="42" t="s">
        <v>105</v>
      </c>
      <c r="B21" s="41"/>
      <c r="C21" s="41"/>
      <c r="D21" s="43">
        <f>SUM(AI28:AI59)</f>
        <v>0</v>
      </c>
      <c r="E21" s="41"/>
      <c r="F21" s="41"/>
    </row>
    <row r="22" spans="1:35" x14ac:dyDescent="0.35">
      <c r="A22" s="42" t="s">
        <v>106</v>
      </c>
      <c r="B22" s="41"/>
      <c r="C22" s="41"/>
      <c r="D22" s="40">
        <f>SUM(AG28:AG59)</f>
        <v>0</v>
      </c>
      <c r="E22" s="41"/>
      <c r="F22" s="41"/>
    </row>
    <row r="23" spans="1:35" x14ac:dyDescent="0.35">
      <c r="A23" s="42" t="s">
        <v>107</v>
      </c>
      <c r="B23" s="41"/>
      <c r="C23" s="41"/>
      <c r="D23" s="40">
        <f>SUM(T28:T59)</f>
        <v>0</v>
      </c>
      <c r="E23" s="41"/>
      <c r="F23" s="41"/>
    </row>
    <row r="25" spans="1:35" x14ac:dyDescent="0.35">
      <c r="A25" s="24" t="s">
        <v>108</v>
      </c>
    </row>
    <row r="26" spans="1:35" ht="66" customHeight="1" x14ac:dyDescent="0.35">
      <c r="A26" s="6" t="s">
        <v>109</v>
      </c>
      <c r="B26" s="6" t="s">
        <v>110</v>
      </c>
      <c r="C26" s="6" t="s">
        <v>111</v>
      </c>
      <c r="D26" s="6" t="s">
        <v>112</v>
      </c>
      <c r="E26" s="6" t="s">
        <v>113</v>
      </c>
      <c r="F26" s="6" t="s">
        <v>114</v>
      </c>
      <c r="G26" s="6" t="s">
        <v>115</v>
      </c>
      <c r="H26" s="6" t="s">
        <v>116</v>
      </c>
      <c r="I26" s="6" t="s">
        <v>117</v>
      </c>
      <c r="J26" s="6" t="s">
        <v>118</v>
      </c>
      <c r="K26" s="6" t="s">
        <v>119</v>
      </c>
      <c r="L26" s="6" t="s">
        <v>120</v>
      </c>
      <c r="M26" s="6" t="s">
        <v>121</v>
      </c>
      <c r="N26" s="6" t="s">
        <v>122</v>
      </c>
      <c r="O26" s="6" t="s">
        <v>123</v>
      </c>
      <c r="P26" s="6" t="s">
        <v>124</v>
      </c>
      <c r="Q26" s="6" t="s">
        <v>125</v>
      </c>
      <c r="R26" s="6" t="s">
        <v>126</v>
      </c>
      <c r="S26" s="6" t="s">
        <v>127</v>
      </c>
      <c r="T26" s="6" t="s">
        <v>128</v>
      </c>
      <c r="U26" s="6" t="s">
        <v>129</v>
      </c>
      <c r="V26" s="6" t="s">
        <v>130</v>
      </c>
      <c r="W26" s="6" t="s">
        <v>131</v>
      </c>
      <c r="X26" s="6" t="s">
        <v>132</v>
      </c>
      <c r="Y26" s="6" t="s">
        <v>133</v>
      </c>
      <c r="Z26" s="6" t="s">
        <v>134</v>
      </c>
      <c r="AA26" s="6" t="s">
        <v>135</v>
      </c>
      <c r="AB26" s="6" t="s">
        <v>136</v>
      </c>
      <c r="AC26" s="6" t="s">
        <v>137</v>
      </c>
      <c r="AD26" s="6" t="s">
        <v>138</v>
      </c>
      <c r="AE26" s="6" t="s">
        <v>139</v>
      </c>
      <c r="AF26" s="6" t="s">
        <v>140</v>
      </c>
      <c r="AG26" s="6" t="s">
        <v>141</v>
      </c>
      <c r="AH26" s="6" t="s">
        <v>142</v>
      </c>
      <c r="AI26" s="6" t="s">
        <v>143</v>
      </c>
    </row>
    <row r="27" spans="1:35" x14ac:dyDescent="0.35">
      <c r="A27" s="25">
        <v>0</v>
      </c>
      <c r="B27" s="26" t="str">
        <f t="shared" ref="B27:B59" si="0">Period_Unit&amp;" "&amp;A27</f>
        <v>Quarter 0</v>
      </c>
      <c r="C27" s="27">
        <f>Entry_Driver</f>
        <v>100</v>
      </c>
      <c r="D27" s="28">
        <f>Initial_Margin_Rate</f>
        <v>0.3</v>
      </c>
      <c r="E27" s="28">
        <f>Entry_Financing_Rate</f>
        <v>0.08</v>
      </c>
      <c r="F27" s="29"/>
      <c r="G27" s="25">
        <v>1</v>
      </c>
      <c r="H27" s="26"/>
      <c r="I27" s="26"/>
      <c r="J27" s="26"/>
      <c r="K27" s="26"/>
      <c r="L27" s="26"/>
      <c r="M27" s="30">
        <f>Initial_Position_Value</f>
        <v>180</v>
      </c>
      <c r="N27" s="26"/>
      <c r="O27" s="26"/>
      <c r="P27" s="26"/>
      <c r="Q27" s="26"/>
      <c r="R27" s="26"/>
      <c r="S27" s="26"/>
      <c r="T27" s="26"/>
      <c r="U27" s="30">
        <f>Starting_Equity</f>
        <v>100</v>
      </c>
      <c r="V27" s="30">
        <f>Initial_Loan</f>
        <v>80</v>
      </c>
      <c r="W27" s="30">
        <f>Liquidity_Reserve_0</f>
        <v>10</v>
      </c>
      <c r="X27" s="25">
        <v>1</v>
      </c>
      <c r="Y27" s="26" t="s">
        <v>144</v>
      </c>
      <c r="Z27" s="26">
        <f t="shared" ref="Z27:Z59" si="1">U27+W27</f>
        <v>110</v>
      </c>
      <c r="AA27" s="30">
        <f>Initial_Position_Value</f>
        <v>180</v>
      </c>
      <c r="AB27" s="30">
        <f>Initial_Loan</f>
        <v>80</v>
      </c>
      <c r="AC27" s="26">
        <f t="shared" ref="AC27:AC59" si="2">AA27-AB27+Liquidity_Reserve_0</f>
        <v>110</v>
      </c>
      <c r="AD27" s="26">
        <f>Z27</f>
        <v>110</v>
      </c>
      <c r="AE27" s="31">
        <v>0</v>
      </c>
      <c r="AF27" s="25">
        <v>0</v>
      </c>
      <c r="AG27" s="26">
        <v>0</v>
      </c>
      <c r="AH27" s="26">
        <f>Initial_Position_Value</f>
        <v>180</v>
      </c>
      <c r="AI27" s="25">
        <v>0</v>
      </c>
    </row>
    <row r="28" spans="1:35" x14ac:dyDescent="0.35">
      <c r="A28" s="25">
        <v>1</v>
      </c>
      <c r="B28" s="26" t="str">
        <f t="shared" si="0"/>
        <v>Quarter 1</v>
      </c>
      <c r="C28" s="32">
        <v>102.7</v>
      </c>
      <c r="D28" s="33">
        <v>0.3</v>
      </c>
      <c r="E28" s="33">
        <v>0.08</v>
      </c>
      <c r="F28" s="29">
        <f t="shared" ref="F28:F59" si="3">C28/C27-1</f>
        <v>2.7000000000000135E-2</v>
      </c>
      <c r="G28" s="25">
        <f t="shared" ref="G28:G59" si="4">X27</f>
        <v>1</v>
      </c>
      <c r="H28" s="26">
        <f t="shared" ref="H28:H59" si="5">G28*AH27</f>
        <v>180</v>
      </c>
      <c r="I28" s="26">
        <f t="shared" ref="I28:I59" si="6">H28*F28</f>
        <v>4.8600000000000243</v>
      </c>
      <c r="J28" s="26">
        <f t="shared" ref="J28:J59" si="7">H28*Dividend_Yield_pa*Period_Length_Yrs</f>
        <v>1.3499999999999999</v>
      </c>
      <c r="K28" s="26">
        <f t="shared" ref="K28:K59" si="8">G28*V27*E28*Period_Length_Yrs</f>
        <v>1.6</v>
      </c>
      <c r="L28" s="26">
        <f t="shared" ref="L28:L59" si="9">I28+J28-K28</f>
        <v>4.6100000000000243</v>
      </c>
      <c r="M28" s="26">
        <f t="shared" ref="M28:M59" si="10">H28*(1+F28)</f>
        <v>184.86</v>
      </c>
      <c r="N28" s="26">
        <f>G28*(V27+K28-J28)</f>
        <v>80.25</v>
      </c>
      <c r="O28" s="26">
        <f t="shared" ref="O28:O59" si="11">M28-N28</f>
        <v>104.61000000000001</v>
      </c>
      <c r="P28" s="26">
        <f t="shared" ref="P28:P59" si="12">D28*M28</f>
        <v>55.458000000000006</v>
      </c>
      <c r="Q28" s="26">
        <f t="shared" ref="Q28:Q59" si="13">MAX(0,P28-O28)</f>
        <v>0</v>
      </c>
      <c r="R28" s="26">
        <f t="shared" ref="R28:R59" si="14">MIN(Q28,W27)</f>
        <v>0</v>
      </c>
      <c r="S28" s="26">
        <f t="shared" ref="S28:S59" si="15">Q28-R28</f>
        <v>0</v>
      </c>
      <c r="T28" s="26">
        <f t="shared" ref="T28:T59" si="16">IF(S28&gt;0,Liquidation_Slippage*AG28,0)</f>
        <v>0</v>
      </c>
      <c r="U28" s="26">
        <f t="shared" ref="U28:U59" si="17">IF(G28=0,U27,IF(S28&gt;0,MAX(0,O28+R28-T28),O28+R28))</f>
        <v>104.61000000000001</v>
      </c>
      <c r="V28" s="26">
        <f t="shared" ref="V28:V59" si="18">IF(G28=0,0,IF(S28&gt;0,IF(AG28&lt;M28,N28-R28-AG28*(1-Liquidation_Slippage),0),N28-R28))</f>
        <v>80.25</v>
      </c>
      <c r="W28" s="26">
        <f t="shared" ref="W28:W59" si="19">W27-R28</f>
        <v>10</v>
      </c>
      <c r="X28" s="25">
        <f t="shared" ref="X28:X59" si="20">IF(AND(G28=1,OR(S28=0,AG28&lt;M28)),1,0)</f>
        <v>1</v>
      </c>
      <c r="Y28" s="26" t="str">
        <f t="shared" ref="Y28:Y59" si="21">IF(G28=0,"Liquidated earlier",IF(AF28=1,"DEFAULT - forced liquidation",IF(AI28=1,"Shares sold to meet call",IF(Q28&gt;0,"Margin call met from reserve","OK"))))</f>
        <v>OK</v>
      </c>
      <c r="Z28" s="26">
        <f t="shared" si="1"/>
        <v>114.61000000000001</v>
      </c>
      <c r="AA28" s="26">
        <f t="shared" ref="AA28:AA59" si="22">AA27*(1+F28)</f>
        <v>184.86</v>
      </c>
      <c r="AB28" s="26">
        <f t="shared" ref="AB28:AB59" si="23">AB27*(1+E28*Period_Length_Yrs)-AA27*Dividend_Yield_pa*Period_Length_Yrs</f>
        <v>80.25</v>
      </c>
      <c r="AC28" s="26">
        <f t="shared" si="2"/>
        <v>114.61000000000001</v>
      </c>
      <c r="AD28" s="26">
        <f t="shared" ref="AD28:AD59" si="24">MAX(AD27,Z28)</f>
        <v>114.61000000000001</v>
      </c>
      <c r="AE28" s="31">
        <f t="shared" ref="AE28:AE59" si="25">Z28/AD28-1</f>
        <v>0</v>
      </c>
      <c r="AF28" s="25">
        <f t="shared" ref="AF28:AF59" si="26">IF(AND(S28&gt;0,AG28&gt;=M28),1,0)</f>
        <v>0</v>
      </c>
      <c r="AG28" s="26">
        <f t="shared" ref="AG28:AG59" si="27">IF(S28&gt;0,IF(AND(Sell_To_Fund=1,D28&gt;Liquidation_Slippage),MIN(M28,S28/(D28-Liquidation_Slippage)),M28),0)</f>
        <v>0</v>
      </c>
      <c r="AH28" s="26">
        <f t="shared" ref="AH28:AH59" si="28">IF(G28=0,0,IF(S28&gt;0,IF(AG28&lt;M28,M28-AG28,0),M28))</f>
        <v>184.86</v>
      </c>
      <c r="AI28" s="25">
        <f t="shared" ref="AI28:AI59" si="29">IF(AND(S28&gt;0,AG28&lt;M28),1,0)</f>
        <v>0</v>
      </c>
    </row>
    <row r="29" spans="1:35" x14ac:dyDescent="0.35">
      <c r="A29" s="25">
        <v>2</v>
      </c>
      <c r="B29" s="26" t="str">
        <f t="shared" si="0"/>
        <v>Quarter 2</v>
      </c>
      <c r="C29" s="32">
        <v>102.62</v>
      </c>
      <c r="D29" s="33">
        <v>0.3</v>
      </c>
      <c r="E29" s="33">
        <v>0.08</v>
      </c>
      <c r="F29" s="29">
        <f t="shared" si="3"/>
        <v>-7.789678675754752E-4</v>
      </c>
      <c r="G29" s="25">
        <f t="shared" si="4"/>
        <v>1</v>
      </c>
      <c r="H29" s="26">
        <f t="shared" si="5"/>
        <v>184.86</v>
      </c>
      <c r="I29" s="26">
        <f t="shared" si="6"/>
        <v>-0.14400000000000235</v>
      </c>
      <c r="J29" s="26">
        <f t="shared" si="7"/>
        <v>1.38645</v>
      </c>
      <c r="K29" s="26">
        <f t="shared" si="8"/>
        <v>1.605</v>
      </c>
      <c r="L29" s="26">
        <f t="shared" si="9"/>
        <v>-0.36255000000000237</v>
      </c>
      <c r="M29" s="26">
        <f t="shared" si="10"/>
        <v>184.71600000000001</v>
      </c>
      <c r="N29" s="26">
        <f t="shared" ref="N28:N59" si="30">G29*(V28+K29-J29)</f>
        <v>80.468550000000008</v>
      </c>
      <c r="O29" s="26">
        <f t="shared" si="11"/>
        <v>104.24745</v>
      </c>
      <c r="P29" s="26">
        <f t="shared" si="12"/>
        <v>55.4148</v>
      </c>
      <c r="Q29" s="26">
        <f t="shared" si="13"/>
        <v>0</v>
      </c>
      <c r="R29" s="26">
        <f t="shared" si="14"/>
        <v>0</v>
      </c>
      <c r="S29" s="26">
        <f t="shared" si="15"/>
        <v>0</v>
      </c>
      <c r="T29" s="26">
        <f t="shared" si="16"/>
        <v>0</v>
      </c>
      <c r="U29" s="26">
        <f t="shared" si="17"/>
        <v>104.24745</v>
      </c>
      <c r="V29" s="26">
        <f t="shared" si="18"/>
        <v>80.468550000000008</v>
      </c>
      <c r="W29" s="26">
        <f t="shared" si="19"/>
        <v>10</v>
      </c>
      <c r="X29" s="25">
        <f t="shared" si="20"/>
        <v>1</v>
      </c>
      <c r="Y29" s="26" t="str">
        <f t="shared" si="21"/>
        <v>OK</v>
      </c>
      <c r="Z29" s="26">
        <f t="shared" si="1"/>
        <v>114.24745</v>
      </c>
      <c r="AA29" s="26">
        <f t="shared" si="22"/>
        <v>184.71600000000001</v>
      </c>
      <c r="AB29" s="26">
        <f t="shared" si="23"/>
        <v>80.468550000000008</v>
      </c>
      <c r="AC29" s="26">
        <f t="shared" si="2"/>
        <v>114.24745</v>
      </c>
      <c r="AD29" s="26">
        <f t="shared" si="24"/>
        <v>114.61000000000001</v>
      </c>
      <c r="AE29" s="31">
        <f t="shared" si="25"/>
        <v>-3.163336532588934E-3</v>
      </c>
      <c r="AF29" s="25">
        <f t="shared" si="26"/>
        <v>0</v>
      </c>
      <c r="AG29" s="26">
        <f t="shared" si="27"/>
        <v>0</v>
      </c>
      <c r="AH29" s="26">
        <f t="shared" si="28"/>
        <v>184.71600000000001</v>
      </c>
      <c r="AI29" s="25">
        <f t="shared" si="29"/>
        <v>0</v>
      </c>
    </row>
    <row r="30" spans="1:35" x14ac:dyDescent="0.35">
      <c r="A30" s="25">
        <v>3</v>
      </c>
      <c r="B30" s="26" t="str">
        <f t="shared" si="0"/>
        <v>Quarter 3</v>
      </c>
      <c r="C30" s="32">
        <v>105.1</v>
      </c>
      <c r="D30" s="33">
        <v>0.3</v>
      </c>
      <c r="E30" s="33">
        <v>0.08</v>
      </c>
      <c r="F30" s="29">
        <f t="shared" si="3"/>
        <v>2.4166829078152263E-2</v>
      </c>
      <c r="G30" s="25">
        <f t="shared" si="4"/>
        <v>1</v>
      </c>
      <c r="H30" s="26">
        <f t="shared" si="5"/>
        <v>184.71600000000001</v>
      </c>
      <c r="I30" s="26">
        <f t="shared" si="6"/>
        <v>4.4639999999999738</v>
      </c>
      <c r="J30" s="26">
        <f t="shared" si="7"/>
        <v>1.38537</v>
      </c>
      <c r="K30" s="26">
        <f t="shared" si="8"/>
        <v>1.6093710000000001</v>
      </c>
      <c r="L30" s="26">
        <f t="shared" si="9"/>
        <v>4.2399989999999734</v>
      </c>
      <c r="M30" s="26">
        <f t="shared" si="10"/>
        <v>189.17999999999998</v>
      </c>
      <c r="N30" s="26">
        <f t="shared" si="30"/>
        <v>80.692551000000009</v>
      </c>
      <c r="O30" s="26">
        <f t="shared" si="11"/>
        <v>108.48744899999997</v>
      </c>
      <c r="P30" s="26">
        <f t="shared" si="12"/>
        <v>56.753999999999991</v>
      </c>
      <c r="Q30" s="26">
        <f t="shared" si="13"/>
        <v>0</v>
      </c>
      <c r="R30" s="26">
        <f t="shared" si="14"/>
        <v>0</v>
      </c>
      <c r="S30" s="26">
        <f t="shared" si="15"/>
        <v>0</v>
      </c>
      <c r="T30" s="26">
        <f t="shared" si="16"/>
        <v>0</v>
      </c>
      <c r="U30" s="26">
        <f t="shared" si="17"/>
        <v>108.48744899999997</v>
      </c>
      <c r="V30" s="26">
        <f t="shared" si="18"/>
        <v>80.692551000000009</v>
      </c>
      <c r="W30" s="26">
        <f t="shared" si="19"/>
        <v>10</v>
      </c>
      <c r="X30" s="25">
        <f t="shared" si="20"/>
        <v>1</v>
      </c>
      <c r="Y30" s="26" t="str">
        <f t="shared" si="21"/>
        <v>OK</v>
      </c>
      <c r="Z30" s="26">
        <f t="shared" si="1"/>
        <v>118.48744899999997</v>
      </c>
      <c r="AA30" s="26">
        <f t="shared" si="22"/>
        <v>189.17999999999998</v>
      </c>
      <c r="AB30" s="26">
        <f t="shared" si="23"/>
        <v>80.692551000000009</v>
      </c>
      <c r="AC30" s="26">
        <f t="shared" si="2"/>
        <v>118.48744899999997</v>
      </c>
      <c r="AD30" s="26">
        <f t="shared" si="24"/>
        <v>118.48744899999997</v>
      </c>
      <c r="AE30" s="31">
        <f t="shared" si="25"/>
        <v>0</v>
      </c>
      <c r="AF30" s="25">
        <f t="shared" si="26"/>
        <v>0</v>
      </c>
      <c r="AG30" s="26">
        <f t="shared" si="27"/>
        <v>0</v>
      </c>
      <c r="AH30" s="26">
        <f t="shared" si="28"/>
        <v>189.17999999999998</v>
      </c>
      <c r="AI30" s="25">
        <f t="shared" si="29"/>
        <v>0</v>
      </c>
    </row>
    <row r="31" spans="1:35" x14ac:dyDescent="0.35">
      <c r="A31" s="25">
        <v>4</v>
      </c>
      <c r="B31" s="26" t="str">
        <f t="shared" si="0"/>
        <v>Quarter 4</v>
      </c>
      <c r="C31" s="32">
        <v>106.9</v>
      </c>
      <c r="D31" s="33">
        <v>0.3</v>
      </c>
      <c r="E31" s="33">
        <v>0.08</v>
      </c>
      <c r="F31" s="29">
        <f t="shared" si="3"/>
        <v>1.7126546146527311E-2</v>
      </c>
      <c r="G31" s="25">
        <f t="shared" si="4"/>
        <v>1</v>
      </c>
      <c r="H31" s="26">
        <f t="shared" si="5"/>
        <v>189.17999999999998</v>
      </c>
      <c r="I31" s="26">
        <f t="shared" si="6"/>
        <v>3.2400000000000362</v>
      </c>
      <c r="J31" s="26">
        <f t="shared" si="7"/>
        <v>1.4188499999999997</v>
      </c>
      <c r="K31" s="26">
        <f t="shared" si="8"/>
        <v>1.6138510200000002</v>
      </c>
      <c r="L31" s="26">
        <f t="shared" si="9"/>
        <v>3.0449989800000354</v>
      </c>
      <c r="M31" s="26">
        <f t="shared" si="10"/>
        <v>192.42000000000002</v>
      </c>
      <c r="N31" s="26">
        <f t="shared" si="30"/>
        <v>80.887552020000001</v>
      </c>
      <c r="O31" s="26">
        <f t="shared" si="11"/>
        <v>111.53244798000001</v>
      </c>
      <c r="P31" s="26">
        <f t="shared" si="12"/>
        <v>57.725999999999999</v>
      </c>
      <c r="Q31" s="26">
        <f t="shared" si="13"/>
        <v>0</v>
      </c>
      <c r="R31" s="26">
        <f t="shared" si="14"/>
        <v>0</v>
      </c>
      <c r="S31" s="26">
        <f t="shared" si="15"/>
        <v>0</v>
      </c>
      <c r="T31" s="26">
        <f t="shared" si="16"/>
        <v>0</v>
      </c>
      <c r="U31" s="26">
        <f t="shared" si="17"/>
        <v>111.53244798000001</v>
      </c>
      <c r="V31" s="26">
        <f t="shared" si="18"/>
        <v>80.887552020000001</v>
      </c>
      <c r="W31" s="26">
        <f t="shared" si="19"/>
        <v>10</v>
      </c>
      <c r="X31" s="25">
        <f t="shared" si="20"/>
        <v>1</v>
      </c>
      <c r="Y31" s="26" t="str">
        <f t="shared" si="21"/>
        <v>OK</v>
      </c>
      <c r="Z31" s="26">
        <f t="shared" si="1"/>
        <v>121.53244798000001</v>
      </c>
      <c r="AA31" s="26">
        <f t="shared" si="22"/>
        <v>192.42000000000002</v>
      </c>
      <c r="AB31" s="26">
        <f t="shared" si="23"/>
        <v>80.887552020000001</v>
      </c>
      <c r="AC31" s="26">
        <f t="shared" si="2"/>
        <v>121.53244798000001</v>
      </c>
      <c r="AD31" s="26">
        <f t="shared" si="24"/>
        <v>121.53244798000001</v>
      </c>
      <c r="AE31" s="31">
        <f t="shared" si="25"/>
        <v>0</v>
      </c>
      <c r="AF31" s="25">
        <f t="shared" si="26"/>
        <v>0</v>
      </c>
      <c r="AG31" s="26">
        <f t="shared" si="27"/>
        <v>0</v>
      </c>
      <c r="AH31" s="26">
        <f t="shared" si="28"/>
        <v>192.42000000000002</v>
      </c>
      <c r="AI31" s="25">
        <f t="shared" si="29"/>
        <v>0</v>
      </c>
    </row>
    <row r="32" spans="1:35" x14ac:dyDescent="0.35">
      <c r="A32" s="25">
        <v>5</v>
      </c>
      <c r="B32" s="26" t="str">
        <f t="shared" si="0"/>
        <v>Quarter 5</v>
      </c>
      <c r="C32" s="32">
        <v>108.95</v>
      </c>
      <c r="D32" s="33">
        <v>0.3</v>
      </c>
      <c r="E32" s="33">
        <v>0.08</v>
      </c>
      <c r="F32" s="29">
        <f t="shared" si="3"/>
        <v>1.9176800748363032E-2</v>
      </c>
      <c r="G32" s="25">
        <f t="shared" si="4"/>
        <v>1</v>
      </c>
      <c r="H32" s="26">
        <f t="shared" si="5"/>
        <v>192.42000000000002</v>
      </c>
      <c r="I32" s="26">
        <f t="shared" si="6"/>
        <v>3.690000000000015</v>
      </c>
      <c r="J32" s="26">
        <f t="shared" si="7"/>
        <v>1.4431500000000002</v>
      </c>
      <c r="K32" s="26">
        <f t="shared" si="8"/>
        <v>1.6177510404</v>
      </c>
      <c r="L32" s="26">
        <f t="shared" si="9"/>
        <v>3.5153989596000148</v>
      </c>
      <c r="M32" s="26">
        <f t="shared" si="10"/>
        <v>196.11000000000004</v>
      </c>
      <c r="N32" s="26">
        <f t="shared" si="30"/>
        <v>81.062153060399993</v>
      </c>
      <c r="O32" s="26">
        <f t="shared" si="11"/>
        <v>115.04784693960005</v>
      </c>
      <c r="P32" s="26">
        <f t="shared" si="12"/>
        <v>58.833000000000013</v>
      </c>
      <c r="Q32" s="26">
        <f t="shared" si="13"/>
        <v>0</v>
      </c>
      <c r="R32" s="26">
        <f t="shared" si="14"/>
        <v>0</v>
      </c>
      <c r="S32" s="26">
        <f t="shared" si="15"/>
        <v>0</v>
      </c>
      <c r="T32" s="26">
        <f t="shared" si="16"/>
        <v>0</v>
      </c>
      <c r="U32" s="26">
        <f t="shared" si="17"/>
        <v>115.04784693960005</v>
      </c>
      <c r="V32" s="26">
        <f t="shared" si="18"/>
        <v>81.062153060399993</v>
      </c>
      <c r="W32" s="26">
        <f t="shared" si="19"/>
        <v>10</v>
      </c>
      <c r="X32" s="25">
        <f t="shared" si="20"/>
        <v>1</v>
      </c>
      <c r="Y32" s="26" t="str">
        <f t="shared" si="21"/>
        <v>OK</v>
      </c>
      <c r="Z32" s="26">
        <f t="shared" si="1"/>
        <v>125.04784693960005</v>
      </c>
      <c r="AA32" s="26">
        <f t="shared" si="22"/>
        <v>196.11000000000004</v>
      </c>
      <c r="AB32" s="26">
        <f t="shared" si="23"/>
        <v>81.062153060399993</v>
      </c>
      <c r="AC32" s="26">
        <f t="shared" si="2"/>
        <v>125.04784693960005</v>
      </c>
      <c r="AD32" s="26">
        <f t="shared" si="24"/>
        <v>125.04784693960005</v>
      </c>
      <c r="AE32" s="31">
        <f t="shared" si="25"/>
        <v>0</v>
      </c>
      <c r="AF32" s="25">
        <f t="shared" si="26"/>
        <v>0</v>
      </c>
      <c r="AG32" s="26">
        <f t="shared" si="27"/>
        <v>0</v>
      </c>
      <c r="AH32" s="26">
        <f t="shared" si="28"/>
        <v>196.11000000000004</v>
      </c>
      <c r="AI32" s="25">
        <f t="shared" si="29"/>
        <v>0</v>
      </c>
    </row>
    <row r="33" spans="1:35" x14ac:dyDescent="0.35">
      <c r="A33" s="25">
        <v>6</v>
      </c>
      <c r="B33" s="26" t="str">
        <f t="shared" si="0"/>
        <v>Quarter 6</v>
      </c>
      <c r="C33" s="32">
        <v>109.45</v>
      </c>
      <c r="D33" s="33">
        <v>0.3</v>
      </c>
      <c r="E33" s="33">
        <v>0.08</v>
      </c>
      <c r="F33" s="29">
        <f t="shared" si="3"/>
        <v>4.5892611289581886E-3</v>
      </c>
      <c r="G33" s="25">
        <f t="shared" si="4"/>
        <v>1</v>
      </c>
      <c r="H33" s="26">
        <f t="shared" si="5"/>
        <v>196.11000000000004</v>
      </c>
      <c r="I33" s="26">
        <f t="shared" si="6"/>
        <v>0.89999999999999059</v>
      </c>
      <c r="J33" s="26">
        <f t="shared" si="7"/>
        <v>1.4708250000000003</v>
      </c>
      <c r="K33" s="26">
        <f t="shared" si="8"/>
        <v>1.621243061208</v>
      </c>
      <c r="L33" s="26">
        <f t="shared" si="9"/>
        <v>0.74958193879199109</v>
      </c>
      <c r="M33" s="26">
        <f t="shared" si="10"/>
        <v>197.01000000000002</v>
      </c>
      <c r="N33" s="26">
        <f t="shared" si="30"/>
        <v>81.212571121607994</v>
      </c>
      <c r="O33" s="26">
        <f t="shared" si="11"/>
        <v>115.79742887839203</v>
      </c>
      <c r="P33" s="26">
        <f t="shared" si="12"/>
        <v>59.103000000000002</v>
      </c>
      <c r="Q33" s="26">
        <f t="shared" si="13"/>
        <v>0</v>
      </c>
      <c r="R33" s="26">
        <f t="shared" si="14"/>
        <v>0</v>
      </c>
      <c r="S33" s="26">
        <f t="shared" si="15"/>
        <v>0</v>
      </c>
      <c r="T33" s="26">
        <f t="shared" si="16"/>
        <v>0</v>
      </c>
      <c r="U33" s="26">
        <f t="shared" si="17"/>
        <v>115.79742887839203</v>
      </c>
      <c r="V33" s="26">
        <f t="shared" si="18"/>
        <v>81.212571121607994</v>
      </c>
      <c r="W33" s="26">
        <f t="shared" si="19"/>
        <v>10</v>
      </c>
      <c r="X33" s="25">
        <f t="shared" si="20"/>
        <v>1</v>
      </c>
      <c r="Y33" s="26" t="str">
        <f t="shared" si="21"/>
        <v>OK</v>
      </c>
      <c r="Z33" s="26">
        <f t="shared" si="1"/>
        <v>125.79742887839203</v>
      </c>
      <c r="AA33" s="26">
        <f t="shared" si="22"/>
        <v>197.01000000000002</v>
      </c>
      <c r="AB33" s="26">
        <f t="shared" si="23"/>
        <v>81.212571121607994</v>
      </c>
      <c r="AC33" s="26">
        <f t="shared" si="2"/>
        <v>125.79742887839203</v>
      </c>
      <c r="AD33" s="26">
        <f t="shared" si="24"/>
        <v>125.79742887839203</v>
      </c>
      <c r="AE33" s="31">
        <f t="shared" si="25"/>
        <v>0</v>
      </c>
      <c r="AF33" s="25">
        <f t="shared" si="26"/>
        <v>0</v>
      </c>
      <c r="AG33" s="26">
        <f t="shared" si="27"/>
        <v>0</v>
      </c>
      <c r="AH33" s="26">
        <f t="shared" si="28"/>
        <v>197.01000000000002</v>
      </c>
      <c r="AI33" s="25">
        <f t="shared" si="29"/>
        <v>0</v>
      </c>
    </row>
    <row r="34" spans="1:35" x14ac:dyDescent="0.35">
      <c r="A34" s="25">
        <v>7</v>
      </c>
      <c r="B34" s="26" t="str">
        <f t="shared" si="0"/>
        <v>Quarter 7</v>
      </c>
      <c r="C34" s="32">
        <v>111.91</v>
      </c>
      <c r="D34" s="33">
        <v>0.3</v>
      </c>
      <c r="E34" s="33">
        <v>0.08</v>
      </c>
      <c r="F34" s="29">
        <f t="shared" si="3"/>
        <v>2.2476016445865721E-2</v>
      </c>
      <c r="G34" s="25">
        <f t="shared" si="4"/>
        <v>1</v>
      </c>
      <c r="H34" s="26">
        <f t="shared" si="5"/>
        <v>197.01000000000002</v>
      </c>
      <c r="I34" s="26">
        <f t="shared" si="6"/>
        <v>4.4280000000000062</v>
      </c>
      <c r="J34" s="26">
        <f t="shared" si="7"/>
        <v>1.4775750000000001</v>
      </c>
      <c r="K34" s="26">
        <f t="shared" si="8"/>
        <v>1.6242514224321598</v>
      </c>
      <c r="L34" s="26">
        <f t="shared" si="9"/>
        <v>4.2813235775678464</v>
      </c>
      <c r="M34" s="26">
        <f t="shared" si="10"/>
        <v>201.43800000000002</v>
      </c>
      <c r="N34" s="26">
        <f t="shared" si="30"/>
        <v>81.359247544040159</v>
      </c>
      <c r="O34" s="26">
        <f t="shared" si="11"/>
        <v>120.07875245595986</v>
      </c>
      <c r="P34" s="26">
        <f t="shared" si="12"/>
        <v>60.431400000000004</v>
      </c>
      <c r="Q34" s="26">
        <f t="shared" si="13"/>
        <v>0</v>
      </c>
      <c r="R34" s="26">
        <f t="shared" si="14"/>
        <v>0</v>
      </c>
      <c r="S34" s="26">
        <f t="shared" si="15"/>
        <v>0</v>
      </c>
      <c r="T34" s="26">
        <f t="shared" si="16"/>
        <v>0</v>
      </c>
      <c r="U34" s="26">
        <f t="shared" si="17"/>
        <v>120.07875245595986</v>
      </c>
      <c r="V34" s="26">
        <f t="shared" si="18"/>
        <v>81.359247544040159</v>
      </c>
      <c r="W34" s="26">
        <f t="shared" si="19"/>
        <v>10</v>
      </c>
      <c r="X34" s="25">
        <f t="shared" si="20"/>
        <v>1</v>
      </c>
      <c r="Y34" s="26" t="str">
        <f t="shared" si="21"/>
        <v>OK</v>
      </c>
      <c r="Z34" s="26">
        <f t="shared" si="1"/>
        <v>130.07875245595986</v>
      </c>
      <c r="AA34" s="26">
        <f t="shared" si="22"/>
        <v>201.43800000000002</v>
      </c>
      <c r="AB34" s="26">
        <f t="shared" si="23"/>
        <v>81.359247544040159</v>
      </c>
      <c r="AC34" s="26">
        <f t="shared" si="2"/>
        <v>130.07875245595986</v>
      </c>
      <c r="AD34" s="26">
        <f t="shared" si="24"/>
        <v>130.07875245595986</v>
      </c>
      <c r="AE34" s="31">
        <f t="shared" si="25"/>
        <v>0</v>
      </c>
      <c r="AF34" s="25">
        <f t="shared" si="26"/>
        <v>0</v>
      </c>
      <c r="AG34" s="26">
        <f t="shared" si="27"/>
        <v>0</v>
      </c>
      <c r="AH34" s="26">
        <f t="shared" si="28"/>
        <v>201.43800000000002</v>
      </c>
      <c r="AI34" s="25">
        <f t="shared" si="29"/>
        <v>0</v>
      </c>
    </row>
    <row r="35" spans="1:35" x14ac:dyDescent="0.35">
      <c r="A35" s="25">
        <v>8</v>
      </c>
      <c r="B35" s="26" t="str">
        <f t="shared" si="0"/>
        <v>Quarter 8</v>
      </c>
      <c r="C35" s="32">
        <v>111.68</v>
      </c>
      <c r="D35" s="33">
        <v>0.3</v>
      </c>
      <c r="E35" s="33">
        <v>0.08</v>
      </c>
      <c r="F35" s="29">
        <f t="shared" si="3"/>
        <v>-2.0552229470108818E-3</v>
      </c>
      <c r="G35" s="25">
        <f t="shared" si="4"/>
        <v>1</v>
      </c>
      <c r="H35" s="26">
        <f t="shared" si="5"/>
        <v>201.43800000000002</v>
      </c>
      <c r="I35" s="26">
        <f t="shared" si="6"/>
        <v>-0.41399999999997805</v>
      </c>
      <c r="J35" s="26">
        <f t="shared" si="7"/>
        <v>1.510785</v>
      </c>
      <c r="K35" s="26">
        <f t="shared" si="8"/>
        <v>1.6271849508808032</v>
      </c>
      <c r="L35" s="26">
        <f t="shared" si="9"/>
        <v>-0.53039995088078129</v>
      </c>
      <c r="M35" s="26">
        <f t="shared" si="10"/>
        <v>201.02400000000003</v>
      </c>
      <c r="N35" s="26">
        <f t="shared" si="30"/>
        <v>81.475647494920963</v>
      </c>
      <c r="O35" s="26">
        <f t="shared" si="11"/>
        <v>119.54835250507907</v>
      </c>
      <c r="P35" s="26">
        <f t="shared" si="12"/>
        <v>60.307200000000009</v>
      </c>
      <c r="Q35" s="26">
        <f t="shared" si="13"/>
        <v>0</v>
      </c>
      <c r="R35" s="26">
        <f t="shared" si="14"/>
        <v>0</v>
      </c>
      <c r="S35" s="26">
        <f t="shared" si="15"/>
        <v>0</v>
      </c>
      <c r="T35" s="26">
        <f t="shared" si="16"/>
        <v>0</v>
      </c>
      <c r="U35" s="26">
        <f t="shared" si="17"/>
        <v>119.54835250507907</v>
      </c>
      <c r="V35" s="26">
        <f t="shared" si="18"/>
        <v>81.475647494920963</v>
      </c>
      <c r="W35" s="26">
        <f t="shared" si="19"/>
        <v>10</v>
      </c>
      <c r="X35" s="25">
        <f t="shared" si="20"/>
        <v>1</v>
      </c>
      <c r="Y35" s="26" t="str">
        <f t="shared" si="21"/>
        <v>OK</v>
      </c>
      <c r="Z35" s="26">
        <f t="shared" si="1"/>
        <v>129.54835250507907</v>
      </c>
      <c r="AA35" s="26">
        <f t="shared" si="22"/>
        <v>201.02400000000003</v>
      </c>
      <c r="AB35" s="26">
        <f t="shared" si="23"/>
        <v>81.475647494920963</v>
      </c>
      <c r="AC35" s="26">
        <f t="shared" si="2"/>
        <v>129.54835250507907</v>
      </c>
      <c r="AD35" s="26">
        <f t="shared" si="24"/>
        <v>130.07875245595986</v>
      </c>
      <c r="AE35" s="31">
        <f t="shared" si="25"/>
        <v>-4.0775295032166037E-3</v>
      </c>
      <c r="AF35" s="25">
        <f t="shared" si="26"/>
        <v>0</v>
      </c>
      <c r="AG35" s="26">
        <f t="shared" si="27"/>
        <v>0</v>
      </c>
      <c r="AH35" s="26">
        <f t="shared" si="28"/>
        <v>201.02400000000003</v>
      </c>
      <c r="AI35" s="25">
        <f t="shared" si="29"/>
        <v>0</v>
      </c>
    </row>
    <row r="36" spans="1:35" x14ac:dyDescent="0.35">
      <c r="A36" s="25">
        <v>9</v>
      </c>
      <c r="B36" s="26" t="str">
        <f t="shared" si="0"/>
        <v>Quarter 9</v>
      </c>
      <c r="C36" s="32">
        <v>116.71</v>
      </c>
      <c r="D36" s="33">
        <v>0.3</v>
      </c>
      <c r="E36" s="33">
        <v>0.08</v>
      </c>
      <c r="F36" s="29">
        <f t="shared" si="3"/>
        <v>4.5039398280802168E-2</v>
      </c>
      <c r="G36" s="25">
        <f t="shared" si="4"/>
        <v>1</v>
      </c>
      <c r="H36" s="26">
        <f t="shared" si="5"/>
        <v>201.02400000000003</v>
      </c>
      <c r="I36" s="26">
        <f t="shared" si="6"/>
        <v>9.0539999999999754</v>
      </c>
      <c r="J36" s="26">
        <f t="shared" si="7"/>
        <v>1.5076800000000001</v>
      </c>
      <c r="K36" s="26">
        <f t="shared" si="8"/>
        <v>1.6295129498984193</v>
      </c>
      <c r="L36" s="26">
        <f t="shared" si="9"/>
        <v>8.9321670501015564</v>
      </c>
      <c r="M36" s="26">
        <f t="shared" si="10"/>
        <v>210.078</v>
      </c>
      <c r="N36" s="26">
        <f t="shared" si="30"/>
        <v>81.597480444819382</v>
      </c>
      <c r="O36" s="26">
        <f t="shared" si="11"/>
        <v>128.48051955518062</v>
      </c>
      <c r="P36" s="26">
        <f t="shared" si="12"/>
        <v>63.023399999999995</v>
      </c>
      <c r="Q36" s="26">
        <f t="shared" si="13"/>
        <v>0</v>
      </c>
      <c r="R36" s="26">
        <f t="shared" si="14"/>
        <v>0</v>
      </c>
      <c r="S36" s="26">
        <f t="shared" si="15"/>
        <v>0</v>
      </c>
      <c r="T36" s="26">
        <f t="shared" si="16"/>
        <v>0</v>
      </c>
      <c r="U36" s="26">
        <f t="shared" si="17"/>
        <v>128.48051955518062</v>
      </c>
      <c r="V36" s="26">
        <f t="shared" si="18"/>
        <v>81.597480444819382</v>
      </c>
      <c r="W36" s="26">
        <f t="shared" si="19"/>
        <v>10</v>
      </c>
      <c r="X36" s="25">
        <f t="shared" si="20"/>
        <v>1</v>
      </c>
      <c r="Y36" s="26" t="str">
        <f t="shared" si="21"/>
        <v>OK</v>
      </c>
      <c r="Z36" s="26">
        <f t="shared" si="1"/>
        <v>138.48051955518062</v>
      </c>
      <c r="AA36" s="26">
        <f t="shared" si="22"/>
        <v>210.078</v>
      </c>
      <c r="AB36" s="26">
        <f t="shared" si="23"/>
        <v>81.597480444819396</v>
      </c>
      <c r="AC36" s="26">
        <f t="shared" si="2"/>
        <v>138.48051955518059</v>
      </c>
      <c r="AD36" s="26">
        <f t="shared" si="24"/>
        <v>138.48051955518062</v>
      </c>
      <c r="AE36" s="31">
        <f t="shared" si="25"/>
        <v>0</v>
      </c>
      <c r="AF36" s="25">
        <f t="shared" si="26"/>
        <v>0</v>
      </c>
      <c r="AG36" s="26">
        <f t="shared" si="27"/>
        <v>0</v>
      </c>
      <c r="AH36" s="26">
        <f t="shared" si="28"/>
        <v>210.078</v>
      </c>
      <c r="AI36" s="25">
        <f t="shared" si="29"/>
        <v>0</v>
      </c>
    </row>
    <row r="37" spans="1:35" x14ac:dyDescent="0.35">
      <c r="A37" s="25">
        <v>10</v>
      </c>
      <c r="B37" s="26" t="str">
        <f t="shared" si="0"/>
        <v>Quarter 10</v>
      </c>
      <c r="C37" s="32">
        <v>116.68</v>
      </c>
      <c r="D37" s="33">
        <v>0.3</v>
      </c>
      <c r="E37" s="33">
        <v>0.08</v>
      </c>
      <c r="F37" s="29">
        <f t="shared" si="3"/>
        <v>-2.5704738240073244E-4</v>
      </c>
      <c r="G37" s="25">
        <f t="shared" si="4"/>
        <v>1</v>
      </c>
      <c r="H37" s="26">
        <f t="shared" si="5"/>
        <v>210.078</v>
      </c>
      <c r="I37" s="26">
        <f t="shared" si="6"/>
        <v>-5.399999999998107E-2</v>
      </c>
      <c r="J37" s="26">
        <f t="shared" si="7"/>
        <v>1.575585</v>
      </c>
      <c r="K37" s="26">
        <f t="shared" si="8"/>
        <v>1.6319496088963876</v>
      </c>
      <c r="L37" s="26">
        <f t="shared" si="9"/>
        <v>-0.11036460889636879</v>
      </c>
      <c r="M37" s="26">
        <f t="shared" si="10"/>
        <v>210.02400000000003</v>
      </c>
      <c r="N37" s="26">
        <f t="shared" si="30"/>
        <v>81.65384505371577</v>
      </c>
      <c r="O37" s="26">
        <f t="shared" si="11"/>
        <v>128.37015494628426</v>
      </c>
      <c r="P37" s="26">
        <f t="shared" si="12"/>
        <v>63.007200000000005</v>
      </c>
      <c r="Q37" s="26">
        <f t="shared" si="13"/>
        <v>0</v>
      </c>
      <c r="R37" s="26">
        <f t="shared" si="14"/>
        <v>0</v>
      </c>
      <c r="S37" s="26">
        <f t="shared" si="15"/>
        <v>0</v>
      </c>
      <c r="T37" s="26">
        <f t="shared" si="16"/>
        <v>0</v>
      </c>
      <c r="U37" s="26">
        <f t="shared" si="17"/>
        <v>128.37015494628426</v>
      </c>
      <c r="V37" s="26">
        <f t="shared" si="18"/>
        <v>81.65384505371577</v>
      </c>
      <c r="W37" s="26">
        <f t="shared" si="19"/>
        <v>10</v>
      </c>
      <c r="X37" s="25">
        <f t="shared" si="20"/>
        <v>1</v>
      </c>
      <c r="Y37" s="26" t="str">
        <f t="shared" si="21"/>
        <v>OK</v>
      </c>
      <c r="Z37" s="26">
        <f t="shared" si="1"/>
        <v>138.37015494628426</v>
      </c>
      <c r="AA37" s="26">
        <f t="shared" si="22"/>
        <v>210.02400000000003</v>
      </c>
      <c r="AB37" s="26">
        <f t="shared" si="23"/>
        <v>81.653845053715784</v>
      </c>
      <c r="AC37" s="26">
        <f t="shared" si="2"/>
        <v>138.37015494628423</v>
      </c>
      <c r="AD37" s="26">
        <f t="shared" si="24"/>
        <v>138.48051955518062</v>
      </c>
      <c r="AE37" s="31">
        <f t="shared" si="25"/>
        <v>-7.9696847795540648E-4</v>
      </c>
      <c r="AF37" s="25">
        <f t="shared" si="26"/>
        <v>0</v>
      </c>
      <c r="AG37" s="26">
        <f t="shared" si="27"/>
        <v>0</v>
      </c>
      <c r="AH37" s="26">
        <f t="shared" si="28"/>
        <v>210.02400000000003</v>
      </c>
      <c r="AI37" s="25">
        <f t="shared" si="29"/>
        <v>0</v>
      </c>
    </row>
    <row r="38" spans="1:35" x14ac:dyDescent="0.35">
      <c r="A38" s="25">
        <v>11</v>
      </c>
      <c r="B38" s="26" t="str">
        <f t="shared" si="0"/>
        <v>Quarter 11</v>
      </c>
      <c r="C38" s="32">
        <v>119.16</v>
      </c>
      <c r="D38" s="33">
        <v>0.3</v>
      </c>
      <c r="E38" s="33">
        <v>0.08</v>
      </c>
      <c r="F38" s="29">
        <f t="shared" si="3"/>
        <v>2.1254713747000276E-2</v>
      </c>
      <c r="G38" s="25">
        <f t="shared" si="4"/>
        <v>1</v>
      </c>
      <c r="H38" s="26">
        <f t="shared" si="5"/>
        <v>210.02400000000003</v>
      </c>
      <c r="I38" s="26">
        <f t="shared" si="6"/>
        <v>4.4639999999999862</v>
      </c>
      <c r="J38" s="26">
        <f t="shared" si="7"/>
        <v>1.5751800000000002</v>
      </c>
      <c r="K38" s="26">
        <f t="shared" si="8"/>
        <v>1.6330769010743154</v>
      </c>
      <c r="L38" s="26">
        <f t="shared" si="9"/>
        <v>4.4061030989256711</v>
      </c>
      <c r="M38" s="26">
        <f t="shared" si="10"/>
        <v>214.48800000000003</v>
      </c>
      <c r="N38" s="26">
        <f t="shared" si="30"/>
        <v>81.711741954790085</v>
      </c>
      <c r="O38" s="26">
        <f t="shared" si="11"/>
        <v>132.77625804520994</v>
      </c>
      <c r="P38" s="26">
        <f t="shared" si="12"/>
        <v>64.346400000000003</v>
      </c>
      <c r="Q38" s="26">
        <f t="shared" si="13"/>
        <v>0</v>
      </c>
      <c r="R38" s="26">
        <f t="shared" si="14"/>
        <v>0</v>
      </c>
      <c r="S38" s="26">
        <f t="shared" si="15"/>
        <v>0</v>
      </c>
      <c r="T38" s="26">
        <f t="shared" si="16"/>
        <v>0</v>
      </c>
      <c r="U38" s="26">
        <f t="shared" si="17"/>
        <v>132.77625804520994</v>
      </c>
      <c r="V38" s="26">
        <f t="shared" si="18"/>
        <v>81.711741954790085</v>
      </c>
      <c r="W38" s="26">
        <f t="shared" si="19"/>
        <v>10</v>
      </c>
      <c r="X38" s="25">
        <f t="shared" si="20"/>
        <v>1</v>
      </c>
      <c r="Y38" s="26" t="str">
        <f t="shared" si="21"/>
        <v>OK</v>
      </c>
      <c r="Z38" s="26">
        <f t="shared" si="1"/>
        <v>142.77625804520994</v>
      </c>
      <c r="AA38" s="26">
        <f t="shared" si="22"/>
        <v>214.48800000000003</v>
      </c>
      <c r="AB38" s="26">
        <f t="shared" si="23"/>
        <v>81.711741954790099</v>
      </c>
      <c r="AC38" s="26">
        <f t="shared" si="2"/>
        <v>142.77625804520994</v>
      </c>
      <c r="AD38" s="26">
        <f t="shared" si="24"/>
        <v>142.77625804520994</v>
      </c>
      <c r="AE38" s="31">
        <f t="shared" si="25"/>
        <v>0</v>
      </c>
      <c r="AF38" s="25">
        <f t="shared" si="26"/>
        <v>0</v>
      </c>
      <c r="AG38" s="26">
        <f t="shared" si="27"/>
        <v>0</v>
      </c>
      <c r="AH38" s="26">
        <f t="shared" si="28"/>
        <v>214.48800000000003</v>
      </c>
      <c r="AI38" s="25">
        <f t="shared" si="29"/>
        <v>0</v>
      </c>
    </row>
    <row r="39" spans="1:35" x14ac:dyDescent="0.35">
      <c r="A39" s="25">
        <v>12</v>
      </c>
      <c r="B39" s="26" t="str">
        <f t="shared" si="0"/>
        <v>Quarter 12</v>
      </c>
      <c r="C39" s="32">
        <v>120.04</v>
      </c>
      <c r="D39" s="33">
        <v>0.3</v>
      </c>
      <c r="E39" s="33">
        <v>0.08</v>
      </c>
      <c r="F39" s="29">
        <f t="shared" si="3"/>
        <v>7.3850285330647747E-3</v>
      </c>
      <c r="G39" s="25">
        <f t="shared" si="4"/>
        <v>1</v>
      </c>
      <c r="H39" s="26">
        <f t="shared" si="5"/>
        <v>214.48800000000003</v>
      </c>
      <c r="I39" s="26">
        <f t="shared" si="6"/>
        <v>1.5839999999999976</v>
      </c>
      <c r="J39" s="26">
        <f t="shared" si="7"/>
        <v>1.6086600000000002</v>
      </c>
      <c r="K39" s="26">
        <f t="shared" si="8"/>
        <v>1.6342348390958017</v>
      </c>
      <c r="L39" s="26">
        <f t="shared" si="9"/>
        <v>1.5584251609041961</v>
      </c>
      <c r="M39" s="26">
        <f t="shared" si="10"/>
        <v>216.07200000000003</v>
      </c>
      <c r="N39" s="26">
        <f t="shared" si="30"/>
        <v>81.737316793885881</v>
      </c>
      <c r="O39" s="26">
        <f t="shared" si="11"/>
        <v>134.33468320611416</v>
      </c>
      <c r="P39" s="26">
        <f t="shared" si="12"/>
        <v>64.821600000000004</v>
      </c>
      <c r="Q39" s="26">
        <f t="shared" si="13"/>
        <v>0</v>
      </c>
      <c r="R39" s="26">
        <f t="shared" si="14"/>
        <v>0</v>
      </c>
      <c r="S39" s="26">
        <f t="shared" si="15"/>
        <v>0</v>
      </c>
      <c r="T39" s="26">
        <f t="shared" si="16"/>
        <v>0</v>
      </c>
      <c r="U39" s="26">
        <f t="shared" si="17"/>
        <v>134.33468320611416</v>
      </c>
      <c r="V39" s="26">
        <f t="shared" si="18"/>
        <v>81.737316793885881</v>
      </c>
      <c r="W39" s="26">
        <f t="shared" si="19"/>
        <v>10</v>
      </c>
      <c r="X39" s="25">
        <f t="shared" si="20"/>
        <v>1</v>
      </c>
      <c r="Y39" s="26" t="str">
        <f t="shared" si="21"/>
        <v>OK</v>
      </c>
      <c r="Z39" s="26">
        <f t="shared" si="1"/>
        <v>144.33468320611416</v>
      </c>
      <c r="AA39" s="26">
        <f t="shared" si="22"/>
        <v>216.07200000000003</v>
      </c>
      <c r="AB39" s="26">
        <f t="shared" si="23"/>
        <v>81.737316793885896</v>
      </c>
      <c r="AC39" s="26">
        <f t="shared" si="2"/>
        <v>144.33468320611414</v>
      </c>
      <c r="AD39" s="26">
        <f t="shared" si="24"/>
        <v>144.33468320611416</v>
      </c>
      <c r="AE39" s="31">
        <f t="shared" si="25"/>
        <v>0</v>
      </c>
      <c r="AF39" s="25">
        <f t="shared" si="26"/>
        <v>0</v>
      </c>
      <c r="AG39" s="26">
        <f t="shared" si="27"/>
        <v>0</v>
      </c>
      <c r="AH39" s="26">
        <f t="shared" si="28"/>
        <v>216.07200000000003</v>
      </c>
      <c r="AI39" s="25">
        <f t="shared" si="29"/>
        <v>0</v>
      </c>
    </row>
    <row r="40" spans="1:35" x14ac:dyDescent="0.35">
      <c r="A40" s="25">
        <v>13</v>
      </c>
      <c r="B40" s="26" t="str">
        <f t="shared" si="0"/>
        <v>Quarter 13</v>
      </c>
      <c r="C40" s="32">
        <v>123.16</v>
      </c>
      <c r="D40" s="33">
        <v>0.3</v>
      </c>
      <c r="E40" s="33">
        <v>0.08</v>
      </c>
      <c r="F40" s="29">
        <f t="shared" si="3"/>
        <v>2.5991336221259598E-2</v>
      </c>
      <c r="G40" s="25">
        <f t="shared" si="4"/>
        <v>1</v>
      </c>
      <c r="H40" s="26">
        <f t="shared" si="5"/>
        <v>216.07200000000003</v>
      </c>
      <c r="I40" s="26">
        <f t="shared" si="6"/>
        <v>5.616000000000005</v>
      </c>
      <c r="J40" s="26">
        <f t="shared" si="7"/>
        <v>1.6205400000000001</v>
      </c>
      <c r="K40" s="26">
        <f t="shared" si="8"/>
        <v>1.6347463358777177</v>
      </c>
      <c r="L40" s="26">
        <f t="shared" si="9"/>
        <v>5.6017936641222876</v>
      </c>
      <c r="M40" s="26">
        <f t="shared" si="10"/>
        <v>221.68800000000005</v>
      </c>
      <c r="N40" s="26">
        <f t="shared" si="30"/>
        <v>81.751523129763598</v>
      </c>
      <c r="O40" s="26">
        <f t="shared" si="11"/>
        <v>139.93647687023645</v>
      </c>
      <c r="P40" s="26">
        <f t="shared" si="12"/>
        <v>66.506400000000014</v>
      </c>
      <c r="Q40" s="26">
        <f t="shared" si="13"/>
        <v>0</v>
      </c>
      <c r="R40" s="26">
        <f t="shared" si="14"/>
        <v>0</v>
      </c>
      <c r="S40" s="26">
        <f t="shared" si="15"/>
        <v>0</v>
      </c>
      <c r="T40" s="26">
        <f t="shared" si="16"/>
        <v>0</v>
      </c>
      <c r="U40" s="26">
        <f t="shared" si="17"/>
        <v>139.93647687023645</v>
      </c>
      <c r="V40" s="26">
        <f t="shared" si="18"/>
        <v>81.751523129763598</v>
      </c>
      <c r="W40" s="26">
        <f t="shared" si="19"/>
        <v>10</v>
      </c>
      <c r="X40" s="25">
        <f t="shared" si="20"/>
        <v>1</v>
      </c>
      <c r="Y40" s="26" t="str">
        <f t="shared" si="21"/>
        <v>OK</v>
      </c>
      <c r="Z40" s="26">
        <f t="shared" si="1"/>
        <v>149.93647687023645</v>
      </c>
      <c r="AA40" s="26">
        <f t="shared" si="22"/>
        <v>221.68800000000005</v>
      </c>
      <c r="AB40" s="26">
        <f t="shared" si="23"/>
        <v>81.751523129763612</v>
      </c>
      <c r="AC40" s="26">
        <f t="shared" si="2"/>
        <v>149.93647687023645</v>
      </c>
      <c r="AD40" s="26">
        <f t="shared" si="24"/>
        <v>149.93647687023645</v>
      </c>
      <c r="AE40" s="31">
        <f t="shared" si="25"/>
        <v>0</v>
      </c>
      <c r="AF40" s="25">
        <f t="shared" si="26"/>
        <v>0</v>
      </c>
      <c r="AG40" s="26">
        <f t="shared" si="27"/>
        <v>0</v>
      </c>
      <c r="AH40" s="26">
        <f t="shared" si="28"/>
        <v>221.68800000000005</v>
      </c>
      <c r="AI40" s="25">
        <f t="shared" si="29"/>
        <v>0</v>
      </c>
    </row>
    <row r="41" spans="1:35" x14ac:dyDescent="0.35">
      <c r="A41" s="25">
        <v>14</v>
      </c>
      <c r="B41" s="26" t="str">
        <f t="shared" si="0"/>
        <v>Quarter 14</v>
      </c>
      <c r="C41" s="32">
        <v>124.46</v>
      </c>
      <c r="D41" s="33">
        <v>0.3</v>
      </c>
      <c r="E41" s="33">
        <v>0.08</v>
      </c>
      <c r="F41" s="29">
        <f t="shared" si="3"/>
        <v>1.0555375121792832E-2</v>
      </c>
      <c r="G41" s="25">
        <f t="shared" si="4"/>
        <v>1</v>
      </c>
      <c r="H41" s="26">
        <f t="shared" si="5"/>
        <v>221.68800000000005</v>
      </c>
      <c r="I41" s="26">
        <f t="shared" si="6"/>
        <v>2.3400000000000096</v>
      </c>
      <c r="J41" s="26">
        <f t="shared" si="7"/>
        <v>1.6626600000000002</v>
      </c>
      <c r="K41" s="26">
        <f t="shared" si="8"/>
        <v>1.6350304625952721</v>
      </c>
      <c r="L41" s="26">
        <f t="shared" si="9"/>
        <v>2.3676295374047376</v>
      </c>
      <c r="M41" s="26">
        <f t="shared" si="10"/>
        <v>224.02800000000005</v>
      </c>
      <c r="N41" s="26">
        <f t="shared" si="30"/>
        <v>81.723893592358863</v>
      </c>
      <c r="O41" s="26">
        <f t="shared" si="11"/>
        <v>142.3041064076412</v>
      </c>
      <c r="P41" s="26">
        <f t="shared" si="12"/>
        <v>67.208400000000012</v>
      </c>
      <c r="Q41" s="26">
        <f t="shared" si="13"/>
        <v>0</v>
      </c>
      <c r="R41" s="26">
        <f t="shared" si="14"/>
        <v>0</v>
      </c>
      <c r="S41" s="26">
        <f t="shared" si="15"/>
        <v>0</v>
      </c>
      <c r="T41" s="26">
        <f t="shared" si="16"/>
        <v>0</v>
      </c>
      <c r="U41" s="26">
        <f t="shared" si="17"/>
        <v>142.3041064076412</v>
      </c>
      <c r="V41" s="26">
        <f t="shared" si="18"/>
        <v>81.723893592358863</v>
      </c>
      <c r="W41" s="26">
        <f t="shared" si="19"/>
        <v>10</v>
      </c>
      <c r="X41" s="25">
        <f t="shared" si="20"/>
        <v>1</v>
      </c>
      <c r="Y41" s="26" t="str">
        <f t="shared" si="21"/>
        <v>OK</v>
      </c>
      <c r="Z41" s="26">
        <f t="shared" si="1"/>
        <v>152.3041064076412</v>
      </c>
      <c r="AA41" s="26">
        <f t="shared" si="22"/>
        <v>224.02800000000005</v>
      </c>
      <c r="AB41" s="26">
        <f t="shared" si="23"/>
        <v>81.723893592358877</v>
      </c>
      <c r="AC41" s="26">
        <f t="shared" si="2"/>
        <v>152.30410640764117</v>
      </c>
      <c r="AD41" s="26">
        <f t="shared" si="24"/>
        <v>152.3041064076412</v>
      </c>
      <c r="AE41" s="31">
        <f t="shared" si="25"/>
        <v>0</v>
      </c>
      <c r="AF41" s="25">
        <f t="shared" si="26"/>
        <v>0</v>
      </c>
      <c r="AG41" s="26">
        <f t="shared" si="27"/>
        <v>0</v>
      </c>
      <c r="AH41" s="26">
        <f t="shared" si="28"/>
        <v>224.02800000000005</v>
      </c>
      <c r="AI41" s="25">
        <f t="shared" si="29"/>
        <v>0</v>
      </c>
    </row>
    <row r="42" spans="1:35" x14ac:dyDescent="0.35">
      <c r="A42" s="25">
        <v>15</v>
      </c>
      <c r="B42" s="26" t="str">
        <f t="shared" si="0"/>
        <v>Quarter 15</v>
      </c>
      <c r="C42" s="32">
        <v>126.01</v>
      </c>
      <c r="D42" s="33">
        <v>0.3</v>
      </c>
      <c r="E42" s="33">
        <v>0.08</v>
      </c>
      <c r="F42" s="29">
        <f t="shared" si="3"/>
        <v>1.2453800417804972E-2</v>
      </c>
      <c r="G42" s="25">
        <f t="shared" si="4"/>
        <v>1</v>
      </c>
      <c r="H42" s="26">
        <f t="shared" si="5"/>
        <v>224.02800000000005</v>
      </c>
      <c r="I42" s="26">
        <f t="shared" si="6"/>
        <v>2.7900000000000129</v>
      </c>
      <c r="J42" s="26">
        <f t="shared" si="7"/>
        <v>1.6802100000000002</v>
      </c>
      <c r="K42" s="26">
        <f t="shared" si="8"/>
        <v>1.6344778718471773</v>
      </c>
      <c r="L42" s="26">
        <f t="shared" si="9"/>
        <v>2.835732128152836</v>
      </c>
      <c r="M42" s="26">
        <f t="shared" si="10"/>
        <v>226.81800000000007</v>
      </c>
      <c r="N42" s="26">
        <f t="shared" si="30"/>
        <v>81.678161464206042</v>
      </c>
      <c r="O42" s="26">
        <f t="shared" si="11"/>
        <v>145.13983853579401</v>
      </c>
      <c r="P42" s="26">
        <f t="shared" si="12"/>
        <v>68.045400000000015</v>
      </c>
      <c r="Q42" s="26">
        <f t="shared" si="13"/>
        <v>0</v>
      </c>
      <c r="R42" s="26">
        <f t="shared" si="14"/>
        <v>0</v>
      </c>
      <c r="S42" s="26">
        <f t="shared" si="15"/>
        <v>0</v>
      </c>
      <c r="T42" s="26">
        <f t="shared" si="16"/>
        <v>0</v>
      </c>
      <c r="U42" s="26">
        <f t="shared" si="17"/>
        <v>145.13983853579401</v>
      </c>
      <c r="V42" s="26">
        <f t="shared" si="18"/>
        <v>81.678161464206042</v>
      </c>
      <c r="W42" s="26">
        <f t="shared" si="19"/>
        <v>10</v>
      </c>
      <c r="X42" s="25">
        <f t="shared" si="20"/>
        <v>1</v>
      </c>
      <c r="Y42" s="26" t="str">
        <f t="shared" si="21"/>
        <v>OK</v>
      </c>
      <c r="Z42" s="26">
        <f t="shared" si="1"/>
        <v>155.13983853579401</v>
      </c>
      <c r="AA42" s="26">
        <f t="shared" si="22"/>
        <v>226.81800000000007</v>
      </c>
      <c r="AB42" s="26">
        <f t="shared" si="23"/>
        <v>81.678161464206056</v>
      </c>
      <c r="AC42" s="26">
        <f t="shared" si="2"/>
        <v>155.13983853579401</v>
      </c>
      <c r="AD42" s="26">
        <f t="shared" si="24"/>
        <v>155.13983853579401</v>
      </c>
      <c r="AE42" s="31">
        <f t="shared" si="25"/>
        <v>0</v>
      </c>
      <c r="AF42" s="25">
        <f t="shared" si="26"/>
        <v>0</v>
      </c>
      <c r="AG42" s="26">
        <f t="shared" si="27"/>
        <v>0</v>
      </c>
      <c r="AH42" s="26">
        <f t="shared" si="28"/>
        <v>226.81800000000007</v>
      </c>
      <c r="AI42" s="25">
        <f t="shared" si="29"/>
        <v>0</v>
      </c>
    </row>
    <row r="43" spans="1:35" x14ac:dyDescent="0.35">
      <c r="A43" s="25">
        <v>16</v>
      </c>
      <c r="B43" s="26" t="str">
        <f t="shared" si="0"/>
        <v>Quarter 16</v>
      </c>
      <c r="C43" s="32">
        <v>127.07</v>
      </c>
      <c r="D43" s="33">
        <v>0.3</v>
      </c>
      <c r="E43" s="33">
        <v>0.08</v>
      </c>
      <c r="F43" s="29">
        <f t="shared" si="3"/>
        <v>8.4120307912070036E-3</v>
      </c>
      <c r="G43" s="25">
        <f t="shared" si="4"/>
        <v>1</v>
      </c>
      <c r="H43" s="26">
        <f t="shared" si="5"/>
        <v>226.81800000000007</v>
      </c>
      <c r="I43" s="26">
        <f t="shared" si="6"/>
        <v>1.9079999999999908</v>
      </c>
      <c r="J43" s="26">
        <f t="shared" si="7"/>
        <v>1.7011350000000005</v>
      </c>
      <c r="K43" s="26">
        <f t="shared" si="8"/>
        <v>1.6335632292841209</v>
      </c>
      <c r="L43" s="26">
        <f t="shared" si="9"/>
        <v>1.9755717707158704</v>
      </c>
      <c r="M43" s="26">
        <f t="shared" si="10"/>
        <v>228.72600000000006</v>
      </c>
      <c r="N43" s="26">
        <f t="shared" si="30"/>
        <v>81.610589693490169</v>
      </c>
      <c r="O43" s="26">
        <f t="shared" si="11"/>
        <v>147.11541030650989</v>
      </c>
      <c r="P43" s="26">
        <f t="shared" si="12"/>
        <v>68.617800000000017</v>
      </c>
      <c r="Q43" s="26">
        <f t="shared" si="13"/>
        <v>0</v>
      </c>
      <c r="R43" s="26">
        <f t="shared" si="14"/>
        <v>0</v>
      </c>
      <c r="S43" s="26">
        <f t="shared" si="15"/>
        <v>0</v>
      </c>
      <c r="T43" s="26">
        <f t="shared" si="16"/>
        <v>0</v>
      </c>
      <c r="U43" s="26">
        <f t="shared" si="17"/>
        <v>147.11541030650989</v>
      </c>
      <c r="V43" s="26">
        <f t="shared" si="18"/>
        <v>81.610589693490169</v>
      </c>
      <c r="W43" s="26">
        <f t="shared" si="19"/>
        <v>10</v>
      </c>
      <c r="X43" s="25">
        <f t="shared" si="20"/>
        <v>1</v>
      </c>
      <c r="Y43" s="26" t="str">
        <f t="shared" si="21"/>
        <v>OK</v>
      </c>
      <c r="Z43" s="26">
        <f t="shared" si="1"/>
        <v>157.11541030650989</v>
      </c>
      <c r="AA43" s="26">
        <f t="shared" si="22"/>
        <v>228.72600000000006</v>
      </c>
      <c r="AB43" s="26">
        <f t="shared" si="23"/>
        <v>81.610589693490184</v>
      </c>
      <c r="AC43" s="26">
        <f t="shared" si="2"/>
        <v>157.11541030650989</v>
      </c>
      <c r="AD43" s="26">
        <f t="shared" si="24"/>
        <v>157.11541030650989</v>
      </c>
      <c r="AE43" s="31">
        <f t="shared" si="25"/>
        <v>0</v>
      </c>
      <c r="AF43" s="25">
        <f t="shared" si="26"/>
        <v>0</v>
      </c>
      <c r="AG43" s="26">
        <f t="shared" si="27"/>
        <v>0</v>
      </c>
      <c r="AH43" s="26">
        <f t="shared" si="28"/>
        <v>228.72600000000006</v>
      </c>
      <c r="AI43" s="25">
        <f t="shared" si="29"/>
        <v>0</v>
      </c>
    </row>
    <row r="44" spans="1:35" x14ac:dyDescent="0.35">
      <c r="A44" s="25">
        <v>17</v>
      </c>
      <c r="B44" s="26" t="str">
        <f t="shared" si="0"/>
        <v>Quarter 17</v>
      </c>
      <c r="C44" s="32">
        <v>130.88</v>
      </c>
      <c r="D44" s="33">
        <v>0.3</v>
      </c>
      <c r="E44" s="33">
        <v>0.08</v>
      </c>
      <c r="F44" s="29">
        <f t="shared" si="3"/>
        <v>2.9983473675926575E-2</v>
      </c>
      <c r="G44" s="25">
        <f t="shared" si="4"/>
        <v>1</v>
      </c>
      <c r="H44" s="26">
        <f t="shared" si="5"/>
        <v>228.72600000000006</v>
      </c>
      <c r="I44" s="26">
        <f t="shared" si="6"/>
        <v>6.8579999999999837</v>
      </c>
      <c r="J44" s="26">
        <f t="shared" si="7"/>
        <v>1.7154450000000003</v>
      </c>
      <c r="K44" s="26">
        <f t="shared" si="8"/>
        <v>1.6322117938698035</v>
      </c>
      <c r="L44" s="26">
        <f t="shared" si="9"/>
        <v>6.94123320613018</v>
      </c>
      <c r="M44" s="26">
        <f t="shared" si="10"/>
        <v>235.58400000000003</v>
      </c>
      <c r="N44" s="26">
        <f t="shared" si="30"/>
        <v>81.527356487359967</v>
      </c>
      <c r="O44" s="26">
        <f t="shared" si="11"/>
        <v>154.05664351264005</v>
      </c>
      <c r="P44" s="26">
        <f t="shared" si="12"/>
        <v>70.675200000000004</v>
      </c>
      <c r="Q44" s="26">
        <f t="shared" si="13"/>
        <v>0</v>
      </c>
      <c r="R44" s="26">
        <f t="shared" si="14"/>
        <v>0</v>
      </c>
      <c r="S44" s="26">
        <f t="shared" si="15"/>
        <v>0</v>
      </c>
      <c r="T44" s="26">
        <f t="shared" si="16"/>
        <v>0</v>
      </c>
      <c r="U44" s="26">
        <f t="shared" si="17"/>
        <v>154.05664351264005</v>
      </c>
      <c r="V44" s="26">
        <f t="shared" si="18"/>
        <v>81.527356487359967</v>
      </c>
      <c r="W44" s="26">
        <f t="shared" si="19"/>
        <v>10</v>
      </c>
      <c r="X44" s="25">
        <f t="shared" si="20"/>
        <v>1</v>
      </c>
      <c r="Y44" s="26" t="str">
        <f t="shared" si="21"/>
        <v>OK</v>
      </c>
      <c r="Z44" s="26">
        <f t="shared" si="1"/>
        <v>164.05664351264005</v>
      </c>
      <c r="AA44" s="26">
        <f t="shared" si="22"/>
        <v>235.58400000000003</v>
      </c>
      <c r="AB44" s="26">
        <f t="shared" si="23"/>
        <v>81.527356487359981</v>
      </c>
      <c r="AC44" s="26">
        <f t="shared" si="2"/>
        <v>164.05664351264005</v>
      </c>
      <c r="AD44" s="26">
        <f t="shared" si="24"/>
        <v>164.05664351264005</v>
      </c>
      <c r="AE44" s="31">
        <f t="shared" si="25"/>
        <v>0</v>
      </c>
      <c r="AF44" s="25">
        <f t="shared" si="26"/>
        <v>0</v>
      </c>
      <c r="AG44" s="26">
        <f t="shared" si="27"/>
        <v>0</v>
      </c>
      <c r="AH44" s="26">
        <f t="shared" si="28"/>
        <v>235.58400000000003</v>
      </c>
      <c r="AI44" s="25">
        <f t="shared" si="29"/>
        <v>0</v>
      </c>
    </row>
    <row r="45" spans="1:35" x14ac:dyDescent="0.35">
      <c r="A45" s="25">
        <v>18</v>
      </c>
      <c r="B45" s="26" t="str">
        <f t="shared" si="0"/>
        <v>Quarter 18</v>
      </c>
      <c r="C45" s="32">
        <v>131.81</v>
      </c>
      <c r="D45" s="33">
        <v>0.3</v>
      </c>
      <c r="E45" s="33">
        <v>0.08</v>
      </c>
      <c r="F45" s="29">
        <f t="shared" si="3"/>
        <v>7.1057457212715391E-3</v>
      </c>
      <c r="G45" s="25">
        <f t="shared" si="4"/>
        <v>1</v>
      </c>
      <c r="H45" s="26">
        <f t="shared" si="5"/>
        <v>235.58400000000003</v>
      </c>
      <c r="I45" s="26">
        <f t="shared" si="6"/>
        <v>1.6740000000000346</v>
      </c>
      <c r="J45" s="26">
        <f t="shared" si="7"/>
        <v>1.7668800000000002</v>
      </c>
      <c r="K45" s="26">
        <f t="shared" si="8"/>
        <v>1.6305471297471994</v>
      </c>
      <c r="L45" s="26">
        <f t="shared" si="9"/>
        <v>1.8103328702528352</v>
      </c>
      <c r="M45" s="26">
        <f t="shared" si="10"/>
        <v>237.25800000000007</v>
      </c>
      <c r="N45" s="26">
        <f t="shared" si="30"/>
        <v>81.391023617107166</v>
      </c>
      <c r="O45" s="26">
        <f t="shared" si="11"/>
        <v>155.86697638289291</v>
      </c>
      <c r="P45" s="26">
        <f t="shared" si="12"/>
        <v>71.17740000000002</v>
      </c>
      <c r="Q45" s="26">
        <f t="shared" si="13"/>
        <v>0</v>
      </c>
      <c r="R45" s="26">
        <f t="shared" si="14"/>
        <v>0</v>
      </c>
      <c r="S45" s="26">
        <f t="shared" si="15"/>
        <v>0</v>
      </c>
      <c r="T45" s="26">
        <f t="shared" si="16"/>
        <v>0</v>
      </c>
      <c r="U45" s="26">
        <f t="shared" si="17"/>
        <v>155.86697638289291</v>
      </c>
      <c r="V45" s="26">
        <f t="shared" si="18"/>
        <v>81.391023617107166</v>
      </c>
      <c r="W45" s="26">
        <f t="shared" si="19"/>
        <v>10</v>
      </c>
      <c r="X45" s="25">
        <f t="shared" si="20"/>
        <v>1</v>
      </c>
      <c r="Y45" s="26" t="str">
        <f t="shared" si="21"/>
        <v>OK</v>
      </c>
      <c r="Z45" s="26">
        <f t="shared" si="1"/>
        <v>165.86697638289291</v>
      </c>
      <c r="AA45" s="26">
        <f t="shared" si="22"/>
        <v>237.25800000000007</v>
      </c>
      <c r="AB45" s="26">
        <f t="shared" si="23"/>
        <v>81.39102361710718</v>
      </c>
      <c r="AC45" s="26">
        <f t="shared" si="2"/>
        <v>165.86697638289289</v>
      </c>
      <c r="AD45" s="26">
        <f t="shared" si="24"/>
        <v>165.86697638289291</v>
      </c>
      <c r="AE45" s="31">
        <f t="shared" si="25"/>
        <v>0</v>
      </c>
      <c r="AF45" s="25">
        <f t="shared" si="26"/>
        <v>0</v>
      </c>
      <c r="AG45" s="26">
        <f t="shared" si="27"/>
        <v>0</v>
      </c>
      <c r="AH45" s="26">
        <f t="shared" si="28"/>
        <v>237.25800000000007</v>
      </c>
      <c r="AI45" s="25">
        <f t="shared" si="29"/>
        <v>0</v>
      </c>
    </row>
    <row r="46" spans="1:35" x14ac:dyDescent="0.35">
      <c r="A46" s="25">
        <v>19</v>
      </c>
      <c r="B46" s="26" t="str">
        <f t="shared" si="0"/>
        <v>Quarter 19</v>
      </c>
      <c r="C46" s="32">
        <v>135.04</v>
      </c>
      <c r="D46" s="33">
        <v>0.3</v>
      </c>
      <c r="E46" s="33">
        <v>0.08</v>
      </c>
      <c r="F46" s="29">
        <f t="shared" si="3"/>
        <v>2.4504969273954957E-2</v>
      </c>
      <c r="G46" s="25">
        <f t="shared" si="4"/>
        <v>1</v>
      </c>
      <c r="H46" s="26">
        <f t="shared" si="5"/>
        <v>237.25800000000007</v>
      </c>
      <c r="I46" s="26">
        <f t="shared" si="6"/>
        <v>5.8140000000000072</v>
      </c>
      <c r="J46" s="26">
        <f t="shared" si="7"/>
        <v>1.7794350000000005</v>
      </c>
      <c r="K46" s="26">
        <f t="shared" si="8"/>
        <v>1.6278204723421434</v>
      </c>
      <c r="L46" s="26">
        <f t="shared" si="9"/>
        <v>5.9656145276578645</v>
      </c>
      <c r="M46" s="26">
        <f t="shared" si="10"/>
        <v>243.07200000000006</v>
      </c>
      <c r="N46" s="26">
        <f t="shared" si="30"/>
        <v>81.239409089449296</v>
      </c>
      <c r="O46" s="26">
        <f t="shared" si="11"/>
        <v>161.83259091055078</v>
      </c>
      <c r="P46" s="26">
        <f t="shared" si="12"/>
        <v>72.921600000000012</v>
      </c>
      <c r="Q46" s="26">
        <f t="shared" si="13"/>
        <v>0</v>
      </c>
      <c r="R46" s="26">
        <f t="shared" si="14"/>
        <v>0</v>
      </c>
      <c r="S46" s="26">
        <f t="shared" si="15"/>
        <v>0</v>
      </c>
      <c r="T46" s="26">
        <f t="shared" si="16"/>
        <v>0</v>
      </c>
      <c r="U46" s="26">
        <f t="shared" si="17"/>
        <v>161.83259091055078</v>
      </c>
      <c r="V46" s="26">
        <f t="shared" si="18"/>
        <v>81.239409089449296</v>
      </c>
      <c r="W46" s="26">
        <f t="shared" si="19"/>
        <v>10</v>
      </c>
      <c r="X46" s="25">
        <f t="shared" si="20"/>
        <v>1</v>
      </c>
      <c r="Y46" s="26" t="str">
        <f t="shared" si="21"/>
        <v>OK</v>
      </c>
      <c r="Z46" s="26">
        <f t="shared" si="1"/>
        <v>171.83259091055078</v>
      </c>
      <c r="AA46" s="26">
        <f t="shared" si="22"/>
        <v>243.07200000000006</v>
      </c>
      <c r="AB46" s="26">
        <f t="shared" si="23"/>
        <v>81.239409089449325</v>
      </c>
      <c r="AC46" s="26">
        <f t="shared" si="2"/>
        <v>171.83259091055072</v>
      </c>
      <c r="AD46" s="26">
        <f t="shared" si="24"/>
        <v>171.83259091055078</v>
      </c>
      <c r="AE46" s="31">
        <f t="shared" si="25"/>
        <v>0</v>
      </c>
      <c r="AF46" s="25">
        <f t="shared" si="26"/>
        <v>0</v>
      </c>
      <c r="AG46" s="26">
        <f t="shared" si="27"/>
        <v>0</v>
      </c>
      <c r="AH46" s="26">
        <f t="shared" si="28"/>
        <v>243.07200000000006</v>
      </c>
      <c r="AI46" s="25">
        <f t="shared" si="29"/>
        <v>0</v>
      </c>
    </row>
    <row r="47" spans="1:35" x14ac:dyDescent="0.35">
      <c r="A47" s="25">
        <v>20</v>
      </c>
      <c r="B47" s="26" t="str">
        <f t="shared" si="0"/>
        <v>Quarter 20</v>
      </c>
      <c r="C47" s="32">
        <v>136.72999999999999</v>
      </c>
      <c r="D47" s="33">
        <v>0.3</v>
      </c>
      <c r="E47" s="33">
        <v>0.08</v>
      </c>
      <c r="F47" s="29">
        <f t="shared" si="3"/>
        <v>1.2514810426540235E-2</v>
      </c>
      <c r="G47" s="25">
        <f t="shared" si="4"/>
        <v>1</v>
      </c>
      <c r="H47" s="26">
        <f t="shared" si="5"/>
        <v>243.07200000000006</v>
      </c>
      <c r="I47" s="26">
        <f t="shared" si="6"/>
        <v>3.0419999999999887</v>
      </c>
      <c r="J47" s="26">
        <f t="shared" si="7"/>
        <v>1.8230400000000004</v>
      </c>
      <c r="K47" s="26">
        <f t="shared" si="8"/>
        <v>1.624788181788986</v>
      </c>
      <c r="L47" s="26">
        <f t="shared" si="9"/>
        <v>3.2402518182110027</v>
      </c>
      <c r="M47" s="26">
        <f t="shared" si="10"/>
        <v>246.11400000000006</v>
      </c>
      <c r="N47" s="26">
        <f t="shared" si="30"/>
        <v>81.041157271238276</v>
      </c>
      <c r="O47" s="26">
        <f t="shared" si="11"/>
        <v>165.07284272876177</v>
      </c>
      <c r="P47" s="26">
        <f t="shared" si="12"/>
        <v>73.83420000000001</v>
      </c>
      <c r="Q47" s="26">
        <f t="shared" si="13"/>
        <v>0</v>
      </c>
      <c r="R47" s="26">
        <f t="shared" si="14"/>
        <v>0</v>
      </c>
      <c r="S47" s="26">
        <f t="shared" si="15"/>
        <v>0</v>
      </c>
      <c r="T47" s="26">
        <f t="shared" si="16"/>
        <v>0</v>
      </c>
      <c r="U47" s="26">
        <f t="shared" si="17"/>
        <v>165.07284272876177</v>
      </c>
      <c r="V47" s="26">
        <f t="shared" si="18"/>
        <v>81.041157271238276</v>
      </c>
      <c r="W47" s="26">
        <f t="shared" si="19"/>
        <v>10</v>
      </c>
      <c r="X47" s="25">
        <f t="shared" si="20"/>
        <v>1</v>
      </c>
      <c r="Y47" s="26" t="str">
        <f t="shared" si="21"/>
        <v>OK</v>
      </c>
      <c r="Z47" s="26">
        <f t="shared" si="1"/>
        <v>175.07284272876177</v>
      </c>
      <c r="AA47" s="26">
        <f t="shared" si="22"/>
        <v>246.11400000000006</v>
      </c>
      <c r="AB47" s="26">
        <f t="shared" si="23"/>
        <v>81.041157271238305</v>
      </c>
      <c r="AC47" s="26">
        <f t="shared" si="2"/>
        <v>175.07284272876177</v>
      </c>
      <c r="AD47" s="26">
        <f t="shared" si="24"/>
        <v>175.07284272876177</v>
      </c>
      <c r="AE47" s="31">
        <f t="shared" si="25"/>
        <v>0</v>
      </c>
      <c r="AF47" s="25">
        <f t="shared" si="26"/>
        <v>0</v>
      </c>
      <c r="AG47" s="26">
        <f t="shared" si="27"/>
        <v>0</v>
      </c>
      <c r="AH47" s="26">
        <f t="shared" si="28"/>
        <v>246.11400000000006</v>
      </c>
      <c r="AI47" s="25">
        <f t="shared" si="29"/>
        <v>0</v>
      </c>
    </row>
    <row r="48" spans="1:35" x14ac:dyDescent="0.35">
      <c r="A48" s="25">
        <v>21</v>
      </c>
      <c r="B48" s="26" t="str">
        <f t="shared" si="0"/>
        <v>Quarter 21</v>
      </c>
      <c r="C48" s="32">
        <v>139.27000000000001</v>
      </c>
      <c r="D48" s="33">
        <v>0.3</v>
      </c>
      <c r="E48" s="33">
        <v>0.08</v>
      </c>
      <c r="F48" s="29">
        <f t="shared" si="3"/>
        <v>1.8576757112557685E-2</v>
      </c>
      <c r="G48" s="25">
        <f t="shared" si="4"/>
        <v>1</v>
      </c>
      <c r="H48" s="26">
        <f t="shared" si="5"/>
        <v>246.11400000000006</v>
      </c>
      <c r="I48" s="26">
        <f t="shared" si="6"/>
        <v>4.5720000000000232</v>
      </c>
      <c r="J48" s="26">
        <f t="shared" si="7"/>
        <v>1.8458550000000005</v>
      </c>
      <c r="K48" s="26">
        <f t="shared" si="8"/>
        <v>1.6208231454247655</v>
      </c>
      <c r="L48" s="26">
        <f t="shared" si="9"/>
        <v>4.7970318545752582</v>
      </c>
      <c r="M48" s="26">
        <f t="shared" si="10"/>
        <v>250.68600000000009</v>
      </c>
      <c r="N48" s="26">
        <f t="shared" si="30"/>
        <v>80.816125416663041</v>
      </c>
      <c r="O48" s="26">
        <f t="shared" si="11"/>
        <v>169.86987458333704</v>
      </c>
      <c r="P48" s="26">
        <f t="shared" si="12"/>
        <v>75.205800000000025</v>
      </c>
      <c r="Q48" s="26">
        <f t="shared" si="13"/>
        <v>0</v>
      </c>
      <c r="R48" s="26">
        <f t="shared" si="14"/>
        <v>0</v>
      </c>
      <c r="S48" s="26">
        <f t="shared" si="15"/>
        <v>0</v>
      </c>
      <c r="T48" s="26">
        <f t="shared" si="16"/>
        <v>0</v>
      </c>
      <c r="U48" s="26">
        <f t="shared" si="17"/>
        <v>169.86987458333704</v>
      </c>
      <c r="V48" s="26">
        <f t="shared" si="18"/>
        <v>80.816125416663041</v>
      </c>
      <c r="W48" s="26">
        <f t="shared" si="19"/>
        <v>10</v>
      </c>
      <c r="X48" s="25">
        <f t="shared" si="20"/>
        <v>1</v>
      </c>
      <c r="Y48" s="26" t="str">
        <f t="shared" si="21"/>
        <v>OK</v>
      </c>
      <c r="Z48" s="26">
        <f t="shared" si="1"/>
        <v>179.86987458333704</v>
      </c>
      <c r="AA48" s="26">
        <f t="shared" si="22"/>
        <v>250.68600000000009</v>
      </c>
      <c r="AB48" s="26">
        <f t="shared" si="23"/>
        <v>80.81612541666307</v>
      </c>
      <c r="AC48" s="26">
        <f t="shared" si="2"/>
        <v>179.86987458333704</v>
      </c>
      <c r="AD48" s="26">
        <f t="shared" si="24"/>
        <v>179.86987458333704</v>
      </c>
      <c r="AE48" s="31">
        <f t="shared" si="25"/>
        <v>0</v>
      </c>
      <c r="AF48" s="25">
        <f t="shared" si="26"/>
        <v>0</v>
      </c>
      <c r="AG48" s="26">
        <f t="shared" si="27"/>
        <v>0</v>
      </c>
      <c r="AH48" s="26">
        <f t="shared" si="28"/>
        <v>250.68600000000009</v>
      </c>
      <c r="AI48" s="25">
        <f t="shared" si="29"/>
        <v>0</v>
      </c>
    </row>
    <row r="49" spans="1:35" x14ac:dyDescent="0.35">
      <c r="A49" s="25">
        <v>22</v>
      </c>
      <c r="B49" s="26" t="str">
        <f t="shared" si="0"/>
        <v>Quarter 22</v>
      </c>
      <c r="C49" s="32">
        <v>140.16999999999999</v>
      </c>
      <c r="D49" s="33">
        <v>0.3</v>
      </c>
      <c r="E49" s="33">
        <v>0.08</v>
      </c>
      <c r="F49" s="29">
        <f t="shared" si="3"/>
        <v>6.462267537875821E-3</v>
      </c>
      <c r="G49" s="25">
        <f t="shared" si="4"/>
        <v>1</v>
      </c>
      <c r="H49" s="26">
        <f t="shared" si="5"/>
        <v>250.68600000000009</v>
      </c>
      <c r="I49" s="26">
        <f t="shared" si="6"/>
        <v>1.6199999999999386</v>
      </c>
      <c r="J49" s="26">
        <f t="shared" si="7"/>
        <v>1.8801450000000006</v>
      </c>
      <c r="K49" s="26">
        <f t="shared" si="8"/>
        <v>1.6163225083332609</v>
      </c>
      <c r="L49" s="26">
        <f t="shared" si="9"/>
        <v>1.8838224916666786</v>
      </c>
      <c r="M49" s="26">
        <f t="shared" si="10"/>
        <v>252.30600000000004</v>
      </c>
      <c r="N49" s="26">
        <f t="shared" si="30"/>
        <v>80.552302924996297</v>
      </c>
      <c r="O49" s="26">
        <f t="shared" si="11"/>
        <v>171.75369707500374</v>
      </c>
      <c r="P49" s="26">
        <f t="shared" si="12"/>
        <v>75.691800000000015</v>
      </c>
      <c r="Q49" s="26">
        <f t="shared" si="13"/>
        <v>0</v>
      </c>
      <c r="R49" s="26">
        <f t="shared" si="14"/>
        <v>0</v>
      </c>
      <c r="S49" s="26">
        <f t="shared" si="15"/>
        <v>0</v>
      </c>
      <c r="T49" s="26">
        <f t="shared" si="16"/>
        <v>0</v>
      </c>
      <c r="U49" s="26">
        <f t="shared" si="17"/>
        <v>171.75369707500374</v>
      </c>
      <c r="V49" s="26">
        <f t="shared" si="18"/>
        <v>80.552302924996297</v>
      </c>
      <c r="W49" s="26">
        <f t="shared" si="19"/>
        <v>10</v>
      </c>
      <c r="X49" s="25">
        <f t="shared" si="20"/>
        <v>1</v>
      </c>
      <c r="Y49" s="26" t="str">
        <f t="shared" si="21"/>
        <v>OK</v>
      </c>
      <c r="Z49" s="26">
        <f t="shared" si="1"/>
        <v>181.75369707500374</v>
      </c>
      <c r="AA49" s="26">
        <f t="shared" si="22"/>
        <v>252.30600000000004</v>
      </c>
      <c r="AB49" s="26">
        <f t="shared" si="23"/>
        <v>80.55230292499634</v>
      </c>
      <c r="AC49" s="26">
        <f t="shared" si="2"/>
        <v>181.75369707500369</v>
      </c>
      <c r="AD49" s="26">
        <f t="shared" si="24"/>
        <v>181.75369707500374</v>
      </c>
      <c r="AE49" s="31">
        <f t="shared" si="25"/>
        <v>0</v>
      </c>
      <c r="AF49" s="25">
        <f t="shared" si="26"/>
        <v>0</v>
      </c>
      <c r="AG49" s="26">
        <f t="shared" si="27"/>
        <v>0</v>
      </c>
      <c r="AH49" s="26">
        <f t="shared" si="28"/>
        <v>252.30600000000004</v>
      </c>
      <c r="AI49" s="25">
        <f t="shared" si="29"/>
        <v>0</v>
      </c>
    </row>
    <row r="50" spans="1:35" x14ac:dyDescent="0.35">
      <c r="A50" s="25">
        <v>23</v>
      </c>
      <c r="B50" s="26" t="str">
        <f t="shared" si="0"/>
        <v>Quarter 23</v>
      </c>
      <c r="C50" s="32">
        <v>143.07</v>
      </c>
      <c r="D50" s="33">
        <v>0.3</v>
      </c>
      <c r="E50" s="33">
        <v>0.08</v>
      </c>
      <c r="F50" s="29">
        <f t="shared" si="3"/>
        <v>2.068916315902114E-2</v>
      </c>
      <c r="G50" s="25">
        <f t="shared" si="4"/>
        <v>1</v>
      </c>
      <c r="H50" s="26">
        <f t="shared" si="5"/>
        <v>252.30600000000004</v>
      </c>
      <c r="I50" s="26">
        <f t="shared" si="6"/>
        <v>5.2199999999999882</v>
      </c>
      <c r="J50" s="26">
        <f t="shared" si="7"/>
        <v>1.8922950000000003</v>
      </c>
      <c r="K50" s="26">
        <f t="shared" si="8"/>
        <v>1.611046058499926</v>
      </c>
      <c r="L50" s="26">
        <f t="shared" si="9"/>
        <v>5.5012489415000632</v>
      </c>
      <c r="M50" s="26">
        <f t="shared" si="10"/>
        <v>257.52600000000001</v>
      </c>
      <c r="N50" s="26">
        <f t="shared" si="30"/>
        <v>80.271053983496216</v>
      </c>
      <c r="O50" s="26">
        <f t="shared" si="11"/>
        <v>177.25494601650379</v>
      </c>
      <c r="P50" s="26">
        <f t="shared" si="12"/>
        <v>77.257800000000003</v>
      </c>
      <c r="Q50" s="26">
        <f t="shared" si="13"/>
        <v>0</v>
      </c>
      <c r="R50" s="26">
        <f t="shared" si="14"/>
        <v>0</v>
      </c>
      <c r="S50" s="26">
        <f t="shared" si="15"/>
        <v>0</v>
      </c>
      <c r="T50" s="26">
        <f t="shared" si="16"/>
        <v>0</v>
      </c>
      <c r="U50" s="26">
        <f t="shared" si="17"/>
        <v>177.25494601650379</v>
      </c>
      <c r="V50" s="26">
        <f t="shared" si="18"/>
        <v>80.271053983496216</v>
      </c>
      <c r="W50" s="26">
        <f t="shared" si="19"/>
        <v>10</v>
      </c>
      <c r="X50" s="25">
        <f t="shared" si="20"/>
        <v>1</v>
      </c>
      <c r="Y50" s="26" t="str">
        <f t="shared" si="21"/>
        <v>OK</v>
      </c>
      <c r="Z50" s="26">
        <f t="shared" si="1"/>
        <v>187.25494601650379</v>
      </c>
      <c r="AA50" s="26">
        <f t="shared" si="22"/>
        <v>257.52600000000001</v>
      </c>
      <c r="AB50" s="26">
        <f t="shared" si="23"/>
        <v>80.271053983496259</v>
      </c>
      <c r="AC50" s="26">
        <f t="shared" si="2"/>
        <v>187.25494601650377</v>
      </c>
      <c r="AD50" s="26">
        <f t="shared" si="24"/>
        <v>187.25494601650379</v>
      </c>
      <c r="AE50" s="31">
        <f t="shared" si="25"/>
        <v>0</v>
      </c>
      <c r="AF50" s="25">
        <f t="shared" si="26"/>
        <v>0</v>
      </c>
      <c r="AG50" s="26">
        <f t="shared" si="27"/>
        <v>0</v>
      </c>
      <c r="AH50" s="26">
        <f t="shared" si="28"/>
        <v>257.52600000000001</v>
      </c>
      <c r="AI50" s="25">
        <f t="shared" si="29"/>
        <v>0</v>
      </c>
    </row>
    <row r="51" spans="1:35" x14ac:dyDescent="0.35">
      <c r="A51" s="25">
        <v>24</v>
      </c>
      <c r="B51" s="26" t="str">
        <f t="shared" si="0"/>
        <v>Quarter 24</v>
      </c>
      <c r="C51" s="32">
        <v>145.57</v>
      </c>
      <c r="D51" s="33">
        <v>0.3</v>
      </c>
      <c r="E51" s="33">
        <v>0.08</v>
      </c>
      <c r="F51" s="29">
        <f t="shared" si="3"/>
        <v>1.7473963793946945E-2</v>
      </c>
      <c r="G51" s="25">
        <f t="shared" si="4"/>
        <v>1</v>
      </c>
      <c r="H51" s="26">
        <f t="shared" si="5"/>
        <v>257.52600000000001</v>
      </c>
      <c r="I51" s="26">
        <f t="shared" si="6"/>
        <v>4.4999999999999813</v>
      </c>
      <c r="J51" s="26">
        <f t="shared" si="7"/>
        <v>1.9314450000000001</v>
      </c>
      <c r="K51" s="26">
        <f t="shared" si="8"/>
        <v>1.6054210796699244</v>
      </c>
      <c r="L51" s="26">
        <f t="shared" si="9"/>
        <v>4.8260239203300568</v>
      </c>
      <c r="M51" s="26">
        <f t="shared" si="10"/>
        <v>262.02600000000001</v>
      </c>
      <c r="N51" s="26">
        <f t="shared" si="30"/>
        <v>79.945030063166143</v>
      </c>
      <c r="O51" s="26">
        <f t="shared" si="11"/>
        <v>182.08096993683387</v>
      </c>
      <c r="P51" s="26">
        <f t="shared" si="12"/>
        <v>78.607799999999997</v>
      </c>
      <c r="Q51" s="26">
        <f t="shared" si="13"/>
        <v>0</v>
      </c>
      <c r="R51" s="26">
        <f t="shared" si="14"/>
        <v>0</v>
      </c>
      <c r="S51" s="26">
        <f t="shared" si="15"/>
        <v>0</v>
      </c>
      <c r="T51" s="26">
        <f t="shared" si="16"/>
        <v>0</v>
      </c>
      <c r="U51" s="26">
        <f t="shared" si="17"/>
        <v>182.08096993683387</v>
      </c>
      <c r="V51" s="26">
        <f t="shared" si="18"/>
        <v>79.945030063166143</v>
      </c>
      <c r="W51" s="26">
        <f t="shared" si="19"/>
        <v>10</v>
      </c>
      <c r="X51" s="25">
        <f t="shared" si="20"/>
        <v>1</v>
      </c>
      <c r="Y51" s="26" t="str">
        <f t="shared" si="21"/>
        <v>OK</v>
      </c>
      <c r="Z51" s="26">
        <f t="shared" si="1"/>
        <v>192.08096993683387</v>
      </c>
      <c r="AA51" s="26">
        <f t="shared" si="22"/>
        <v>262.02600000000001</v>
      </c>
      <c r="AB51" s="26">
        <f t="shared" si="23"/>
        <v>79.945030063166186</v>
      </c>
      <c r="AC51" s="26">
        <f t="shared" si="2"/>
        <v>192.08096993683381</v>
      </c>
      <c r="AD51" s="26">
        <f t="shared" si="24"/>
        <v>192.08096993683387</v>
      </c>
      <c r="AE51" s="31">
        <f t="shared" si="25"/>
        <v>0</v>
      </c>
      <c r="AF51" s="25">
        <f t="shared" si="26"/>
        <v>0</v>
      </c>
      <c r="AG51" s="26">
        <f t="shared" si="27"/>
        <v>0</v>
      </c>
      <c r="AH51" s="26">
        <f t="shared" si="28"/>
        <v>262.02600000000001</v>
      </c>
      <c r="AI51" s="25">
        <f t="shared" si="29"/>
        <v>0</v>
      </c>
    </row>
    <row r="52" spans="1:35" x14ac:dyDescent="0.35">
      <c r="A52" s="25">
        <v>25</v>
      </c>
      <c r="B52" s="26" t="str">
        <f t="shared" si="0"/>
        <v>Quarter 25</v>
      </c>
      <c r="C52" s="32">
        <v>148.59</v>
      </c>
      <c r="D52" s="33">
        <v>0.3</v>
      </c>
      <c r="E52" s="33">
        <v>0.08</v>
      </c>
      <c r="F52" s="29">
        <f t="shared" si="3"/>
        <v>2.0746032836436168E-2</v>
      </c>
      <c r="G52" s="25">
        <f t="shared" si="4"/>
        <v>1</v>
      </c>
      <c r="H52" s="26">
        <f t="shared" si="5"/>
        <v>262.02600000000001</v>
      </c>
      <c r="I52" s="26">
        <f t="shared" si="6"/>
        <v>5.4360000000000239</v>
      </c>
      <c r="J52" s="26">
        <f t="shared" si="7"/>
        <v>1.965195</v>
      </c>
      <c r="K52" s="26">
        <f t="shared" si="8"/>
        <v>1.5989006012633229</v>
      </c>
      <c r="L52" s="26">
        <f t="shared" si="9"/>
        <v>5.8022943987367013</v>
      </c>
      <c r="M52" s="26">
        <f t="shared" si="10"/>
        <v>267.46200000000005</v>
      </c>
      <c r="N52" s="26">
        <f t="shared" si="30"/>
        <v>79.578735664429473</v>
      </c>
      <c r="O52" s="26">
        <f t="shared" si="11"/>
        <v>187.88326433557057</v>
      </c>
      <c r="P52" s="26">
        <f t="shared" si="12"/>
        <v>80.238600000000005</v>
      </c>
      <c r="Q52" s="26">
        <f t="shared" si="13"/>
        <v>0</v>
      </c>
      <c r="R52" s="26">
        <f t="shared" si="14"/>
        <v>0</v>
      </c>
      <c r="S52" s="26">
        <f t="shared" si="15"/>
        <v>0</v>
      </c>
      <c r="T52" s="26">
        <f t="shared" si="16"/>
        <v>0</v>
      </c>
      <c r="U52" s="26">
        <f t="shared" si="17"/>
        <v>187.88326433557057</v>
      </c>
      <c r="V52" s="26">
        <f t="shared" si="18"/>
        <v>79.578735664429473</v>
      </c>
      <c r="W52" s="26">
        <f t="shared" si="19"/>
        <v>10</v>
      </c>
      <c r="X52" s="25">
        <f t="shared" si="20"/>
        <v>1</v>
      </c>
      <c r="Y52" s="26" t="str">
        <f t="shared" si="21"/>
        <v>OK</v>
      </c>
      <c r="Z52" s="26">
        <f t="shared" si="1"/>
        <v>197.88326433557057</v>
      </c>
      <c r="AA52" s="26">
        <f t="shared" si="22"/>
        <v>267.46200000000005</v>
      </c>
      <c r="AB52" s="26">
        <f t="shared" si="23"/>
        <v>79.578735664429516</v>
      </c>
      <c r="AC52" s="26">
        <f t="shared" si="2"/>
        <v>197.88326433557052</v>
      </c>
      <c r="AD52" s="26">
        <f t="shared" si="24"/>
        <v>197.88326433557057</v>
      </c>
      <c r="AE52" s="31">
        <f t="shared" si="25"/>
        <v>0</v>
      </c>
      <c r="AF52" s="25">
        <f t="shared" si="26"/>
        <v>0</v>
      </c>
      <c r="AG52" s="26">
        <f t="shared" si="27"/>
        <v>0</v>
      </c>
      <c r="AH52" s="26">
        <f t="shared" si="28"/>
        <v>267.46200000000005</v>
      </c>
      <c r="AI52" s="25">
        <f t="shared" si="29"/>
        <v>0</v>
      </c>
    </row>
    <row r="53" spans="1:35" x14ac:dyDescent="0.35">
      <c r="A53" s="25">
        <v>26</v>
      </c>
      <c r="B53" s="26" t="str">
        <f t="shared" si="0"/>
        <v>Quarter 26</v>
      </c>
      <c r="C53" s="32">
        <v>150.16999999999999</v>
      </c>
      <c r="D53" s="33">
        <v>0.3</v>
      </c>
      <c r="E53" s="33">
        <v>0.08</v>
      </c>
      <c r="F53" s="29">
        <f t="shared" si="3"/>
        <v>1.0633286223837191E-2</v>
      </c>
      <c r="G53" s="25">
        <f t="shared" si="4"/>
        <v>1</v>
      </c>
      <c r="H53" s="26">
        <f t="shared" si="5"/>
        <v>267.46200000000005</v>
      </c>
      <c r="I53" s="26">
        <f t="shared" si="6"/>
        <v>2.843999999999943</v>
      </c>
      <c r="J53" s="26">
        <f t="shared" si="7"/>
        <v>2.0059650000000002</v>
      </c>
      <c r="K53" s="26">
        <f t="shared" si="8"/>
        <v>1.5915747132885896</v>
      </c>
      <c r="L53" s="26">
        <f t="shared" si="9"/>
        <v>3.2583902867113537</v>
      </c>
      <c r="M53" s="26">
        <f t="shared" si="10"/>
        <v>270.30599999999998</v>
      </c>
      <c r="N53" s="26">
        <f t="shared" si="30"/>
        <v>79.164345377718064</v>
      </c>
      <c r="O53" s="26">
        <f t="shared" si="11"/>
        <v>191.14165462228192</v>
      </c>
      <c r="P53" s="26">
        <f t="shared" si="12"/>
        <v>81.091799999999992</v>
      </c>
      <c r="Q53" s="26">
        <f t="shared" si="13"/>
        <v>0</v>
      </c>
      <c r="R53" s="26">
        <f t="shared" si="14"/>
        <v>0</v>
      </c>
      <c r="S53" s="26">
        <f t="shared" si="15"/>
        <v>0</v>
      </c>
      <c r="T53" s="26">
        <f t="shared" si="16"/>
        <v>0</v>
      </c>
      <c r="U53" s="26">
        <f t="shared" si="17"/>
        <v>191.14165462228192</v>
      </c>
      <c r="V53" s="26">
        <f t="shared" si="18"/>
        <v>79.164345377718064</v>
      </c>
      <c r="W53" s="26">
        <f t="shared" si="19"/>
        <v>10</v>
      </c>
      <c r="X53" s="25">
        <f t="shared" si="20"/>
        <v>1</v>
      </c>
      <c r="Y53" s="26" t="str">
        <f t="shared" si="21"/>
        <v>OK</v>
      </c>
      <c r="Z53" s="26">
        <f t="shared" si="1"/>
        <v>201.14165462228192</v>
      </c>
      <c r="AA53" s="26">
        <f t="shared" si="22"/>
        <v>270.30599999999998</v>
      </c>
      <c r="AB53" s="26">
        <f t="shared" si="23"/>
        <v>79.164345377718107</v>
      </c>
      <c r="AC53" s="26">
        <f t="shared" si="2"/>
        <v>201.14165462228186</v>
      </c>
      <c r="AD53" s="26">
        <f t="shared" si="24"/>
        <v>201.14165462228192</v>
      </c>
      <c r="AE53" s="31">
        <f t="shared" si="25"/>
        <v>0</v>
      </c>
      <c r="AF53" s="25">
        <f t="shared" si="26"/>
        <v>0</v>
      </c>
      <c r="AG53" s="26">
        <f t="shared" si="27"/>
        <v>0</v>
      </c>
      <c r="AH53" s="26">
        <f t="shared" si="28"/>
        <v>270.30599999999998</v>
      </c>
      <c r="AI53" s="25">
        <f t="shared" si="29"/>
        <v>0</v>
      </c>
    </row>
    <row r="54" spans="1:35" x14ac:dyDescent="0.35">
      <c r="A54" s="25">
        <v>27</v>
      </c>
      <c r="B54" s="26" t="str">
        <f t="shared" si="0"/>
        <v>Quarter 27</v>
      </c>
      <c r="C54" s="32">
        <v>152.44999999999999</v>
      </c>
      <c r="D54" s="33">
        <v>0.3</v>
      </c>
      <c r="E54" s="33">
        <v>0.08</v>
      </c>
      <c r="F54" s="29">
        <f t="shared" si="3"/>
        <v>1.5182792834787184E-2</v>
      </c>
      <c r="G54" s="25">
        <f t="shared" si="4"/>
        <v>1</v>
      </c>
      <c r="H54" s="26">
        <f t="shared" si="5"/>
        <v>270.30599999999998</v>
      </c>
      <c r="I54" s="26">
        <f t="shared" si="6"/>
        <v>4.1039999999999841</v>
      </c>
      <c r="J54" s="26">
        <f t="shared" si="7"/>
        <v>2.0272949999999996</v>
      </c>
      <c r="K54" s="26">
        <f t="shared" si="8"/>
        <v>1.5832869075543614</v>
      </c>
      <c r="L54" s="26">
        <f t="shared" si="9"/>
        <v>4.5480080924456221</v>
      </c>
      <c r="M54" s="26">
        <f t="shared" si="10"/>
        <v>274.40999999999997</v>
      </c>
      <c r="N54" s="26">
        <f t="shared" si="30"/>
        <v>78.720337285272436</v>
      </c>
      <c r="O54" s="26">
        <f t="shared" si="11"/>
        <v>195.68966271472755</v>
      </c>
      <c r="P54" s="26">
        <f t="shared" si="12"/>
        <v>82.322999999999993</v>
      </c>
      <c r="Q54" s="26">
        <f t="shared" si="13"/>
        <v>0</v>
      </c>
      <c r="R54" s="26">
        <f t="shared" si="14"/>
        <v>0</v>
      </c>
      <c r="S54" s="26">
        <f t="shared" si="15"/>
        <v>0</v>
      </c>
      <c r="T54" s="26">
        <f t="shared" si="16"/>
        <v>0</v>
      </c>
      <c r="U54" s="26">
        <f t="shared" si="17"/>
        <v>195.68966271472755</v>
      </c>
      <c r="V54" s="26">
        <f t="shared" si="18"/>
        <v>78.720337285272436</v>
      </c>
      <c r="W54" s="26">
        <f t="shared" si="19"/>
        <v>10</v>
      </c>
      <c r="X54" s="25">
        <f t="shared" si="20"/>
        <v>1</v>
      </c>
      <c r="Y54" s="26" t="str">
        <f t="shared" si="21"/>
        <v>OK</v>
      </c>
      <c r="Z54" s="26">
        <f t="shared" si="1"/>
        <v>205.68966271472755</v>
      </c>
      <c r="AA54" s="26">
        <f t="shared" si="22"/>
        <v>274.40999999999997</v>
      </c>
      <c r="AB54" s="26">
        <f t="shared" si="23"/>
        <v>78.720337285272478</v>
      </c>
      <c r="AC54" s="26">
        <f t="shared" si="2"/>
        <v>205.68966271472749</v>
      </c>
      <c r="AD54" s="26">
        <f t="shared" si="24"/>
        <v>205.68966271472755</v>
      </c>
      <c r="AE54" s="31">
        <f t="shared" si="25"/>
        <v>0</v>
      </c>
      <c r="AF54" s="25">
        <f t="shared" si="26"/>
        <v>0</v>
      </c>
      <c r="AG54" s="26">
        <f t="shared" si="27"/>
        <v>0</v>
      </c>
      <c r="AH54" s="26">
        <f t="shared" si="28"/>
        <v>274.40999999999997</v>
      </c>
      <c r="AI54" s="25">
        <f t="shared" si="29"/>
        <v>0</v>
      </c>
    </row>
    <row r="55" spans="1:35" x14ac:dyDescent="0.35">
      <c r="A55" s="25">
        <v>28</v>
      </c>
      <c r="B55" s="26" t="str">
        <f t="shared" si="0"/>
        <v>Quarter 28</v>
      </c>
      <c r="C55" s="32">
        <v>154.66</v>
      </c>
      <c r="D55" s="33">
        <v>0.3</v>
      </c>
      <c r="E55" s="33">
        <v>0.08</v>
      </c>
      <c r="F55" s="29">
        <f t="shared" si="3"/>
        <v>1.449655624795021E-2</v>
      </c>
      <c r="G55" s="25">
        <f t="shared" si="4"/>
        <v>1</v>
      </c>
      <c r="H55" s="26">
        <f t="shared" si="5"/>
        <v>274.40999999999997</v>
      </c>
      <c r="I55" s="26">
        <f t="shared" si="6"/>
        <v>3.9780000000000166</v>
      </c>
      <c r="J55" s="26">
        <f t="shared" si="7"/>
        <v>2.0580749999999997</v>
      </c>
      <c r="K55" s="26">
        <f t="shared" si="8"/>
        <v>1.5744067457054487</v>
      </c>
      <c r="L55" s="26">
        <f t="shared" si="9"/>
        <v>4.4616682542945671</v>
      </c>
      <c r="M55" s="26">
        <f t="shared" si="10"/>
        <v>278.38799999999998</v>
      </c>
      <c r="N55" s="26">
        <f t="shared" si="30"/>
        <v>78.236669030977879</v>
      </c>
      <c r="O55" s="26">
        <f t="shared" si="11"/>
        <v>200.1513309690221</v>
      </c>
      <c r="P55" s="26">
        <f t="shared" si="12"/>
        <v>83.51639999999999</v>
      </c>
      <c r="Q55" s="26">
        <f t="shared" si="13"/>
        <v>0</v>
      </c>
      <c r="R55" s="26">
        <f t="shared" si="14"/>
        <v>0</v>
      </c>
      <c r="S55" s="26">
        <f t="shared" si="15"/>
        <v>0</v>
      </c>
      <c r="T55" s="26">
        <f t="shared" si="16"/>
        <v>0</v>
      </c>
      <c r="U55" s="26">
        <f t="shared" si="17"/>
        <v>200.1513309690221</v>
      </c>
      <c r="V55" s="26">
        <f t="shared" si="18"/>
        <v>78.236669030977879</v>
      </c>
      <c r="W55" s="26">
        <f t="shared" si="19"/>
        <v>10</v>
      </c>
      <c r="X55" s="25">
        <f t="shared" si="20"/>
        <v>1</v>
      </c>
      <c r="Y55" s="26" t="str">
        <f t="shared" si="21"/>
        <v>OK</v>
      </c>
      <c r="Z55" s="26">
        <f t="shared" si="1"/>
        <v>210.1513309690221</v>
      </c>
      <c r="AA55" s="26">
        <f t="shared" si="22"/>
        <v>278.38799999999998</v>
      </c>
      <c r="AB55" s="26">
        <f t="shared" si="23"/>
        <v>78.236669030977922</v>
      </c>
      <c r="AC55" s="26">
        <f t="shared" si="2"/>
        <v>210.15133096902207</v>
      </c>
      <c r="AD55" s="26">
        <f t="shared" si="24"/>
        <v>210.1513309690221</v>
      </c>
      <c r="AE55" s="31">
        <f t="shared" si="25"/>
        <v>0</v>
      </c>
      <c r="AF55" s="25">
        <f t="shared" si="26"/>
        <v>0</v>
      </c>
      <c r="AG55" s="26">
        <f t="shared" si="27"/>
        <v>0</v>
      </c>
      <c r="AH55" s="26">
        <f t="shared" si="28"/>
        <v>278.38799999999998</v>
      </c>
      <c r="AI55" s="25">
        <f t="shared" si="29"/>
        <v>0</v>
      </c>
    </row>
    <row r="56" spans="1:35" x14ac:dyDescent="0.35">
      <c r="A56" s="25">
        <v>29</v>
      </c>
      <c r="B56" s="26" t="str">
        <f t="shared" si="0"/>
        <v>Quarter 29</v>
      </c>
      <c r="C56" s="32">
        <v>157.25</v>
      </c>
      <c r="D56" s="33">
        <v>0.3</v>
      </c>
      <c r="E56" s="33">
        <v>0.08</v>
      </c>
      <c r="F56" s="29">
        <f t="shared" si="3"/>
        <v>1.674641148325362E-2</v>
      </c>
      <c r="G56" s="25">
        <f t="shared" si="4"/>
        <v>1</v>
      </c>
      <c r="H56" s="26">
        <f t="shared" si="5"/>
        <v>278.38799999999998</v>
      </c>
      <c r="I56" s="26">
        <f t="shared" si="6"/>
        <v>4.6620000000000088</v>
      </c>
      <c r="J56" s="26">
        <f t="shared" si="7"/>
        <v>2.0879099999999999</v>
      </c>
      <c r="K56" s="26">
        <f t="shared" si="8"/>
        <v>1.5647333806195576</v>
      </c>
      <c r="L56" s="26">
        <f t="shared" si="9"/>
        <v>5.1851766193804512</v>
      </c>
      <c r="M56" s="26">
        <f t="shared" si="10"/>
        <v>283.05</v>
      </c>
      <c r="N56" s="26">
        <f t="shared" si="30"/>
        <v>77.713492411597443</v>
      </c>
      <c r="O56" s="26">
        <f t="shared" si="11"/>
        <v>205.33650758840258</v>
      </c>
      <c r="P56" s="26">
        <f t="shared" si="12"/>
        <v>84.915000000000006</v>
      </c>
      <c r="Q56" s="26">
        <f t="shared" si="13"/>
        <v>0</v>
      </c>
      <c r="R56" s="26">
        <f t="shared" si="14"/>
        <v>0</v>
      </c>
      <c r="S56" s="26">
        <f t="shared" si="15"/>
        <v>0</v>
      </c>
      <c r="T56" s="26">
        <f t="shared" si="16"/>
        <v>0</v>
      </c>
      <c r="U56" s="26">
        <f t="shared" si="17"/>
        <v>205.33650758840258</v>
      </c>
      <c r="V56" s="26">
        <f t="shared" si="18"/>
        <v>77.713492411597443</v>
      </c>
      <c r="W56" s="26">
        <f t="shared" si="19"/>
        <v>10</v>
      </c>
      <c r="X56" s="25">
        <f t="shared" si="20"/>
        <v>1</v>
      </c>
      <c r="Y56" s="26" t="str">
        <f t="shared" si="21"/>
        <v>OK</v>
      </c>
      <c r="Z56" s="26">
        <f t="shared" si="1"/>
        <v>215.33650758840258</v>
      </c>
      <c r="AA56" s="26">
        <f t="shared" si="22"/>
        <v>283.05</v>
      </c>
      <c r="AB56" s="26">
        <f t="shared" si="23"/>
        <v>77.713492411597485</v>
      </c>
      <c r="AC56" s="26">
        <f t="shared" si="2"/>
        <v>215.33650758840253</v>
      </c>
      <c r="AD56" s="26">
        <f t="shared" si="24"/>
        <v>215.33650758840258</v>
      </c>
      <c r="AE56" s="31">
        <f t="shared" si="25"/>
        <v>0</v>
      </c>
      <c r="AF56" s="25">
        <f t="shared" si="26"/>
        <v>0</v>
      </c>
      <c r="AG56" s="26">
        <f t="shared" si="27"/>
        <v>0</v>
      </c>
      <c r="AH56" s="26">
        <f t="shared" si="28"/>
        <v>283.05</v>
      </c>
      <c r="AI56" s="25">
        <f t="shared" si="29"/>
        <v>0</v>
      </c>
    </row>
    <row r="57" spans="1:35" x14ac:dyDescent="0.35">
      <c r="A57" s="25">
        <v>30</v>
      </c>
      <c r="B57" s="26" t="str">
        <f t="shared" si="0"/>
        <v>Quarter 30</v>
      </c>
      <c r="C57" s="32">
        <v>159.87</v>
      </c>
      <c r="D57" s="33">
        <v>0.3</v>
      </c>
      <c r="E57" s="33">
        <v>0.08</v>
      </c>
      <c r="F57" s="29">
        <f t="shared" si="3"/>
        <v>1.6661367249602543E-2</v>
      </c>
      <c r="G57" s="25">
        <f t="shared" si="4"/>
        <v>1</v>
      </c>
      <c r="H57" s="26">
        <f t="shared" si="5"/>
        <v>283.05</v>
      </c>
      <c r="I57" s="26">
        <f t="shared" si="6"/>
        <v>4.7160000000000002</v>
      </c>
      <c r="J57" s="26">
        <f t="shared" si="7"/>
        <v>2.1228750000000001</v>
      </c>
      <c r="K57" s="26">
        <f t="shared" si="8"/>
        <v>1.5542698482319488</v>
      </c>
      <c r="L57" s="26">
        <f t="shared" si="9"/>
        <v>5.2846051517680515</v>
      </c>
      <c r="M57" s="26">
        <f t="shared" si="10"/>
        <v>287.76600000000002</v>
      </c>
      <c r="N57" s="26">
        <f t="shared" si="30"/>
        <v>77.144887259829403</v>
      </c>
      <c r="O57" s="26">
        <f t="shared" si="11"/>
        <v>210.62111274017062</v>
      </c>
      <c r="P57" s="26">
        <f t="shared" si="12"/>
        <v>86.329800000000006</v>
      </c>
      <c r="Q57" s="26">
        <f t="shared" si="13"/>
        <v>0</v>
      </c>
      <c r="R57" s="26">
        <f t="shared" si="14"/>
        <v>0</v>
      </c>
      <c r="S57" s="26">
        <f t="shared" si="15"/>
        <v>0</v>
      </c>
      <c r="T57" s="26">
        <f t="shared" si="16"/>
        <v>0</v>
      </c>
      <c r="U57" s="26">
        <f t="shared" si="17"/>
        <v>210.62111274017062</v>
      </c>
      <c r="V57" s="26">
        <f t="shared" si="18"/>
        <v>77.144887259829403</v>
      </c>
      <c r="W57" s="26">
        <f t="shared" si="19"/>
        <v>10</v>
      </c>
      <c r="X57" s="25">
        <f t="shared" si="20"/>
        <v>1</v>
      </c>
      <c r="Y57" s="26" t="str">
        <f t="shared" si="21"/>
        <v>OK</v>
      </c>
      <c r="Z57" s="26">
        <f t="shared" si="1"/>
        <v>220.62111274017062</v>
      </c>
      <c r="AA57" s="26">
        <f t="shared" si="22"/>
        <v>287.76600000000002</v>
      </c>
      <c r="AB57" s="26">
        <f t="shared" si="23"/>
        <v>77.144887259829446</v>
      </c>
      <c r="AC57" s="26">
        <f t="shared" si="2"/>
        <v>220.62111274017059</v>
      </c>
      <c r="AD57" s="26">
        <f t="shared" si="24"/>
        <v>220.62111274017062</v>
      </c>
      <c r="AE57" s="31">
        <f t="shared" si="25"/>
        <v>0</v>
      </c>
      <c r="AF57" s="25">
        <f t="shared" si="26"/>
        <v>0</v>
      </c>
      <c r="AG57" s="26">
        <f t="shared" si="27"/>
        <v>0</v>
      </c>
      <c r="AH57" s="26">
        <f t="shared" si="28"/>
        <v>287.76600000000002</v>
      </c>
      <c r="AI57" s="25">
        <f t="shared" si="29"/>
        <v>0</v>
      </c>
    </row>
    <row r="58" spans="1:35" x14ac:dyDescent="0.35">
      <c r="A58" s="25">
        <v>31</v>
      </c>
      <c r="B58" s="26" t="str">
        <f t="shared" si="0"/>
        <v>Quarter 31</v>
      </c>
      <c r="C58" s="32">
        <v>162.44999999999999</v>
      </c>
      <c r="D58" s="33">
        <v>0.3</v>
      </c>
      <c r="E58" s="33">
        <v>0.08</v>
      </c>
      <c r="F58" s="29">
        <f t="shared" si="3"/>
        <v>1.6138112216175449E-2</v>
      </c>
      <c r="G58" s="25">
        <f t="shared" si="4"/>
        <v>1</v>
      </c>
      <c r="H58" s="26">
        <f t="shared" si="5"/>
        <v>287.76600000000002</v>
      </c>
      <c r="I58" s="26">
        <f t="shared" si="6"/>
        <v>4.6439999999999442</v>
      </c>
      <c r="J58" s="26">
        <f t="shared" si="7"/>
        <v>2.158245</v>
      </c>
      <c r="K58" s="26">
        <f t="shared" si="8"/>
        <v>1.5428977451965882</v>
      </c>
      <c r="L58" s="26">
        <f t="shared" si="9"/>
        <v>5.2593472548033562</v>
      </c>
      <c r="M58" s="26">
        <f t="shared" si="10"/>
        <v>292.40999999999997</v>
      </c>
      <c r="N58" s="26">
        <f t="shared" si="30"/>
        <v>76.529540005025993</v>
      </c>
      <c r="O58" s="26">
        <f t="shared" si="11"/>
        <v>215.88045999497399</v>
      </c>
      <c r="P58" s="26">
        <f t="shared" si="12"/>
        <v>87.722999999999985</v>
      </c>
      <c r="Q58" s="26">
        <f t="shared" si="13"/>
        <v>0</v>
      </c>
      <c r="R58" s="26">
        <f t="shared" si="14"/>
        <v>0</v>
      </c>
      <c r="S58" s="26">
        <f t="shared" si="15"/>
        <v>0</v>
      </c>
      <c r="T58" s="26">
        <f t="shared" si="16"/>
        <v>0</v>
      </c>
      <c r="U58" s="26">
        <f t="shared" si="17"/>
        <v>215.88045999497399</v>
      </c>
      <c r="V58" s="26">
        <f t="shared" si="18"/>
        <v>76.529540005025993</v>
      </c>
      <c r="W58" s="26">
        <f t="shared" si="19"/>
        <v>10</v>
      </c>
      <c r="X58" s="25">
        <f t="shared" si="20"/>
        <v>1</v>
      </c>
      <c r="Y58" s="26" t="str">
        <f t="shared" si="21"/>
        <v>OK</v>
      </c>
      <c r="Z58" s="26">
        <f t="shared" si="1"/>
        <v>225.88045999497399</v>
      </c>
      <c r="AA58" s="26">
        <f t="shared" si="22"/>
        <v>292.40999999999997</v>
      </c>
      <c r="AB58" s="26">
        <f t="shared" si="23"/>
        <v>76.529540005026035</v>
      </c>
      <c r="AC58" s="26">
        <f t="shared" si="2"/>
        <v>225.88045999497393</v>
      </c>
      <c r="AD58" s="26">
        <f t="shared" si="24"/>
        <v>225.88045999497399</v>
      </c>
      <c r="AE58" s="31">
        <f t="shared" si="25"/>
        <v>0</v>
      </c>
      <c r="AF58" s="25">
        <f t="shared" si="26"/>
        <v>0</v>
      </c>
      <c r="AG58" s="26">
        <f t="shared" si="27"/>
        <v>0</v>
      </c>
      <c r="AH58" s="26">
        <f t="shared" si="28"/>
        <v>292.40999999999997</v>
      </c>
      <c r="AI58" s="25">
        <f t="shared" si="29"/>
        <v>0</v>
      </c>
    </row>
    <row r="59" spans="1:35" x14ac:dyDescent="0.35">
      <c r="A59" s="25">
        <v>32</v>
      </c>
      <c r="B59" s="26" t="str">
        <f t="shared" si="0"/>
        <v>Quarter 32</v>
      </c>
      <c r="C59" s="32">
        <v>165</v>
      </c>
      <c r="D59" s="33">
        <v>0.3</v>
      </c>
      <c r="E59" s="33">
        <v>0.08</v>
      </c>
      <c r="F59" s="29">
        <f t="shared" si="3"/>
        <v>1.5697137580794163E-2</v>
      </c>
      <c r="G59" s="25">
        <f t="shared" si="4"/>
        <v>1</v>
      </c>
      <c r="H59" s="26">
        <f t="shared" si="5"/>
        <v>292.40999999999997</v>
      </c>
      <c r="I59" s="26">
        <f t="shared" si="6"/>
        <v>4.5900000000000203</v>
      </c>
      <c r="J59" s="26">
        <f t="shared" si="7"/>
        <v>2.1930749999999999</v>
      </c>
      <c r="K59" s="26">
        <f t="shared" si="8"/>
        <v>1.53059080010052</v>
      </c>
      <c r="L59" s="26">
        <f t="shared" si="9"/>
        <v>5.2524841998994996</v>
      </c>
      <c r="M59" s="26">
        <f t="shared" si="10"/>
        <v>297</v>
      </c>
      <c r="N59" s="26">
        <f t="shared" si="30"/>
        <v>75.867055805126526</v>
      </c>
      <c r="O59" s="26">
        <f t="shared" si="11"/>
        <v>221.13294419487346</v>
      </c>
      <c r="P59" s="26">
        <f t="shared" si="12"/>
        <v>89.1</v>
      </c>
      <c r="Q59" s="26">
        <f t="shared" si="13"/>
        <v>0</v>
      </c>
      <c r="R59" s="26">
        <f t="shared" si="14"/>
        <v>0</v>
      </c>
      <c r="S59" s="26">
        <f t="shared" si="15"/>
        <v>0</v>
      </c>
      <c r="T59" s="26">
        <f t="shared" si="16"/>
        <v>0</v>
      </c>
      <c r="U59" s="26">
        <f t="shared" si="17"/>
        <v>221.13294419487346</v>
      </c>
      <c r="V59" s="26">
        <f t="shared" si="18"/>
        <v>75.867055805126526</v>
      </c>
      <c r="W59" s="26">
        <f t="shared" si="19"/>
        <v>10</v>
      </c>
      <c r="X59" s="25">
        <f t="shared" si="20"/>
        <v>1</v>
      </c>
      <c r="Y59" s="26" t="str">
        <f t="shared" si="21"/>
        <v>OK</v>
      </c>
      <c r="Z59" s="26">
        <f t="shared" si="1"/>
        <v>231.13294419487346</v>
      </c>
      <c r="AA59" s="26">
        <f t="shared" si="22"/>
        <v>297</v>
      </c>
      <c r="AB59" s="26">
        <f t="shared" si="23"/>
        <v>75.867055805126569</v>
      </c>
      <c r="AC59" s="26">
        <f t="shared" si="2"/>
        <v>231.13294419487343</v>
      </c>
      <c r="AD59" s="26">
        <f t="shared" si="24"/>
        <v>231.13294419487346</v>
      </c>
      <c r="AE59" s="31">
        <f t="shared" si="25"/>
        <v>0</v>
      </c>
      <c r="AF59" s="25">
        <f t="shared" si="26"/>
        <v>0</v>
      </c>
      <c r="AG59" s="26">
        <f t="shared" si="27"/>
        <v>0</v>
      </c>
      <c r="AH59" s="26">
        <f t="shared" si="28"/>
        <v>297</v>
      </c>
      <c r="AI59" s="25">
        <f t="shared" si="29"/>
        <v>0</v>
      </c>
    </row>
  </sheetData>
  <mergeCells count="38">
    <mergeCell ref="D7:F7"/>
    <mergeCell ref="D16:F16"/>
    <mergeCell ref="A23:C23"/>
    <mergeCell ref="A8:C8"/>
    <mergeCell ref="A14:C14"/>
    <mergeCell ref="A22:C22"/>
    <mergeCell ref="D12:F12"/>
    <mergeCell ref="A17:C17"/>
    <mergeCell ref="D18:F18"/>
    <mergeCell ref="D9:F9"/>
    <mergeCell ref="D8:F8"/>
    <mergeCell ref="D11:F11"/>
    <mergeCell ref="D13:F13"/>
    <mergeCell ref="A18:C18"/>
    <mergeCell ref="D17:F17"/>
    <mergeCell ref="A21:C21"/>
    <mergeCell ref="A20:C20"/>
    <mergeCell ref="A10:C10"/>
    <mergeCell ref="A13:C13"/>
    <mergeCell ref="D14:F14"/>
    <mergeCell ref="A19:C19"/>
    <mergeCell ref="A12:C12"/>
    <mergeCell ref="A3:Q3"/>
    <mergeCell ref="D23:F23"/>
    <mergeCell ref="A9:C9"/>
    <mergeCell ref="A15:C15"/>
    <mergeCell ref="D20:F20"/>
    <mergeCell ref="D10:F10"/>
    <mergeCell ref="D19:F19"/>
    <mergeCell ref="A11:C11"/>
    <mergeCell ref="A6:C6"/>
    <mergeCell ref="D22:F22"/>
    <mergeCell ref="D21:F21"/>
    <mergeCell ref="A7:C7"/>
    <mergeCell ref="D6:F6"/>
    <mergeCell ref="A16:C16"/>
    <mergeCell ref="A4:C4"/>
    <mergeCell ref="D15:F15"/>
  </mergeCells>
  <conditionalFormatting sqref="A27:AI59">
    <cfRule type="expression" dxfId="25" priority="3">
      <formula>LEFT($Y27,7)="DEFAULT"</formula>
    </cfRule>
    <cfRule type="expression" dxfId="24" priority="4">
      <formula>LEFT($Y27,6)="Shares"</formula>
    </cfRule>
    <cfRule type="expression" dxfId="23" priority="5">
      <formula>LEFT($Y27,6)="Margin"</formula>
    </cfRule>
    <cfRule type="expression" dxfId="22" priority="6">
      <formula>LEFT($Y27,10)="Liquidated"</formula>
    </cfRule>
  </conditionalFormatting>
  <conditionalFormatting sqref="D14">
    <cfRule type="expression" dxfId="21" priority="1">
      <formula>LEFT($D$14,4)="RUIN"</formula>
    </cfRule>
    <cfRule type="expression" dxfId="20" priority="2">
      <formula>LEFT($D$14,4)="SURV"</formula>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59"/>
  <sheetViews>
    <sheetView showGridLines="0" zoomScale="50" zoomScaleNormal="50" workbookViewId="0">
      <pane xSplit="2" ySplit="26" topLeftCell="C27" activePane="bottomRight" state="frozen"/>
      <selection pane="topRight"/>
      <selection pane="bottomLeft"/>
      <selection pane="bottomRight" activeCell="E36" sqref="E36"/>
    </sheetView>
  </sheetViews>
  <sheetFormatPr defaultRowHeight="14.5" x14ac:dyDescent="0.35"/>
  <cols>
    <col min="1" max="1" width="5" customWidth="1"/>
    <col min="2" max="3" width="11" customWidth="1"/>
    <col min="4" max="4" width="12" customWidth="1"/>
    <col min="5" max="7" width="11" customWidth="1"/>
    <col min="8" max="9" width="13" customWidth="1"/>
    <col min="10" max="12" width="11" customWidth="1"/>
    <col min="13" max="13" width="13" customWidth="1"/>
    <col min="14" max="16" width="12" customWidth="1"/>
    <col min="17" max="17" width="11" customWidth="1"/>
    <col min="18" max="23" width="12" customWidth="1"/>
    <col min="24" max="24" width="11" customWidth="1"/>
    <col min="25" max="25" width="30" customWidth="1"/>
    <col min="26" max="26" width="14" customWidth="1"/>
    <col min="27" max="27" width="13" customWidth="1"/>
    <col min="28" max="28" width="12" customWidth="1"/>
    <col min="29" max="29" width="15" customWidth="1"/>
    <col min="30" max="30" width="13" customWidth="1"/>
    <col min="31" max="31" width="11" customWidth="1"/>
    <col min="32" max="32" width="9" customWidth="1"/>
    <col min="33" max="33" width="16" customWidth="1"/>
    <col min="34" max="34" width="17" customWidth="1"/>
    <col min="35" max="35" width="11" customWidth="1"/>
  </cols>
  <sheetData>
    <row r="1" spans="1:17" ht="19" x14ac:dyDescent="0.45">
      <c r="A1" s="1" t="s">
        <v>145</v>
      </c>
    </row>
    <row r="2" spans="1:17" x14ac:dyDescent="0.35">
      <c r="A2" s="2" t="s">
        <v>87</v>
      </c>
    </row>
    <row r="3" spans="1:17" ht="48" customHeight="1" x14ac:dyDescent="0.35">
      <c r="A3" s="38" t="s">
        <v>19</v>
      </c>
      <c r="B3" s="39"/>
      <c r="C3" s="39"/>
      <c r="D3" s="39"/>
      <c r="E3" s="39"/>
      <c r="F3" s="39"/>
      <c r="G3" s="39"/>
      <c r="H3" s="39"/>
      <c r="I3" s="39"/>
      <c r="J3" s="39"/>
      <c r="K3" s="39"/>
      <c r="L3" s="39"/>
      <c r="M3" s="39"/>
      <c r="N3" s="39"/>
      <c r="O3" s="39"/>
      <c r="P3" s="39"/>
      <c r="Q3" s="39"/>
    </row>
    <row r="4" spans="1:17" ht="42" customHeight="1" x14ac:dyDescent="0.35">
      <c r="A4" s="45" t="s">
        <v>88</v>
      </c>
      <c r="B4" s="39"/>
      <c r="C4" s="39"/>
      <c r="D4" s="22">
        <v>0</v>
      </c>
    </row>
    <row r="5" spans="1:17" x14ac:dyDescent="0.35">
      <c r="A5" s="3" t="s">
        <v>89</v>
      </c>
      <c r="B5" s="23"/>
      <c r="C5" s="23"/>
      <c r="D5" s="23"/>
      <c r="E5" s="23"/>
      <c r="F5" s="23"/>
    </row>
    <row r="6" spans="1:17" x14ac:dyDescent="0.35">
      <c r="A6" s="42" t="s">
        <v>90</v>
      </c>
      <c r="B6" s="41"/>
      <c r="C6" s="41"/>
      <c r="D6" s="40">
        <f>Starting_Equity+Liquidity_Reserve_0</f>
        <v>110</v>
      </c>
      <c r="E6" s="41"/>
      <c r="F6" s="41"/>
    </row>
    <row r="7" spans="1:17" x14ac:dyDescent="0.35">
      <c r="A7" s="42" t="s">
        <v>91</v>
      </c>
      <c r="B7" s="41"/>
      <c r="C7" s="41"/>
      <c r="D7" s="40">
        <f>Z59</f>
        <v>13.967566650647196</v>
      </c>
      <c r="E7" s="41"/>
      <c r="F7" s="41"/>
    </row>
    <row r="8" spans="1:17" x14ac:dyDescent="0.35">
      <c r="A8" s="42" t="s">
        <v>92</v>
      </c>
      <c r="B8" s="41"/>
      <c r="C8" s="41"/>
      <c r="D8" s="46">
        <f>D7/D6-1</f>
        <v>-0.8730221213577527</v>
      </c>
      <c r="E8" s="41"/>
      <c r="F8" s="41"/>
    </row>
    <row r="9" spans="1:17" x14ac:dyDescent="0.35">
      <c r="A9" s="42" t="s">
        <v>93</v>
      </c>
      <c r="B9" s="41"/>
      <c r="C9" s="41"/>
      <c r="D9" s="46">
        <f>MIN(AE27:AE59)</f>
        <v>-0.8730221213577527</v>
      </c>
      <c r="E9" s="41"/>
      <c r="F9" s="41"/>
    </row>
    <row r="10" spans="1:17" x14ac:dyDescent="0.35">
      <c r="A10" s="42" t="s">
        <v>94</v>
      </c>
      <c r="B10" s="41"/>
      <c r="C10" s="41"/>
      <c r="D10" s="43">
        <f>COUNTIF(Q28:Q59,"&gt;0")</f>
        <v>1</v>
      </c>
      <c r="E10" s="41"/>
      <c r="F10" s="41"/>
    </row>
    <row r="11" spans="1:17" x14ac:dyDescent="0.35">
      <c r="A11" s="42" t="s">
        <v>95</v>
      </c>
      <c r="B11" s="41"/>
      <c r="C11" s="41"/>
      <c r="D11" s="40">
        <f>SUM(R28:R59)</f>
        <v>10</v>
      </c>
      <c r="E11" s="41"/>
      <c r="F11" s="41"/>
    </row>
    <row r="12" spans="1:17" x14ac:dyDescent="0.35">
      <c r="A12" s="42" t="s">
        <v>96</v>
      </c>
      <c r="B12" s="41"/>
      <c r="C12" s="41"/>
      <c r="D12" s="40">
        <f>MIN(W27:W59)</f>
        <v>0</v>
      </c>
      <c r="E12" s="41"/>
      <c r="F12" s="41"/>
    </row>
    <row r="13" spans="1:17" x14ac:dyDescent="0.35">
      <c r="A13" s="42" t="s">
        <v>97</v>
      </c>
      <c r="B13" s="41"/>
      <c r="C13" s="41"/>
      <c r="D13" s="43">
        <f>IFERROR(INDEX(A27:A59,MATCH(1,AF27:AF59,0)),"None")</f>
        <v>6</v>
      </c>
      <c r="E13" s="41"/>
      <c r="F13" s="41"/>
    </row>
    <row r="14" spans="1:17" x14ac:dyDescent="0.35">
      <c r="A14" s="42" t="s">
        <v>98</v>
      </c>
      <c r="B14" s="41"/>
      <c r="C14" s="41"/>
      <c r="D14" s="44" t="str">
        <f>IF(ISNUMBER(D13),"RUIN: forced out, "&amp;LOWER(Period_Unit)&amp;" "&amp;D13,IF(D21&gt;0,"SURVIVED: "&amp;D21&amp;" partial sale"&amp;IF(D21&gt;1,"s",""),"SURVIVED to convergence"))</f>
        <v>RUIN: forced out, quarter 6</v>
      </c>
      <c r="E14" s="41"/>
      <c r="F14" s="41"/>
    </row>
    <row r="15" spans="1:17" x14ac:dyDescent="0.35">
      <c r="A15" s="42" t="s">
        <v>99</v>
      </c>
      <c r="B15" s="41"/>
      <c r="C15" s="41"/>
      <c r="D15" s="46">
        <f>MAX(D27:D59)</f>
        <v>0.3</v>
      </c>
      <c r="E15" s="41"/>
      <c r="F15" s="41"/>
    </row>
    <row r="16" spans="1:17" x14ac:dyDescent="0.35">
      <c r="A16" s="42" t="s">
        <v>100</v>
      </c>
      <c r="B16" s="41"/>
      <c r="C16" s="41"/>
      <c r="D16" s="46">
        <f>MAX(E27:E59)</f>
        <v>0.08</v>
      </c>
      <c r="E16" s="41"/>
      <c r="F16" s="41"/>
    </row>
    <row r="17" spans="1:35" x14ac:dyDescent="0.35">
      <c r="A17" s="42" t="s">
        <v>101</v>
      </c>
      <c r="B17" s="41"/>
      <c r="C17" s="41"/>
      <c r="D17" s="40">
        <f>AC59</f>
        <v>211.65892259805932</v>
      </c>
      <c r="E17" s="41"/>
      <c r="F17" s="41"/>
    </row>
    <row r="18" spans="1:35" x14ac:dyDescent="0.35">
      <c r="A18" s="42" t="s">
        <v>102</v>
      </c>
      <c r="B18" s="41"/>
      <c r="C18" s="41"/>
      <c r="D18" s="46">
        <f>D17/D6-1</f>
        <v>0.92417202361872119</v>
      </c>
      <c r="E18" s="41"/>
      <c r="F18" s="41"/>
    </row>
    <row r="19" spans="1:35" x14ac:dyDescent="0.35">
      <c r="A19" s="42" t="s">
        <v>103</v>
      </c>
      <c r="B19" s="41"/>
      <c r="C19" s="41"/>
      <c r="D19" s="44" t="str">
        <f>IF(D17&gt;D6,IF(ISNUMBER(D13),"Yes - but only after forced exit","Yes"),"No")</f>
        <v>Yes - but only after forced exit</v>
      </c>
      <c r="E19" s="41"/>
      <c r="F19" s="41"/>
    </row>
    <row r="20" spans="1:35" x14ac:dyDescent="0.35">
      <c r="A20" s="42" t="s">
        <v>104</v>
      </c>
      <c r="B20" s="41"/>
      <c r="C20" s="41"/>
      <c r="D20" s="40">
        <f>D17-D7</f>
        <v>197.69135594741212</v>
      </c>
      <c r="E20" s="41"/>
      <c r="F20" s="41"/>
    </row>
    <row r="21" spans="1:35" x14ac:dyDescent="0.35">
      <c r="A21" s="42" t="s">
        <v>105</v>
      </c>
      <c r="B21" s="41"/>
      <c r="C21" s="41"/>
      <c r="D21" s="43">
        <f>SUM(AI28:AI59)</f>
        <v>0</v>
      </c>
      <c r="E21" s="41"/>
      <c r="F21" s="41"/>
    </row>
    <row r="22" spans="1:35" x14ac:dyDescent="0.35">
      <c r="A22" s="42" t="s">
        <v>106</v>
      </c>
      <c r="B22" s="41"/>
      <c r="C22" s="41"/>
      <c r="D22" s="40">
        <f>SUM(AG28:AG59)</f>
        <v>102.04199999999999</v>
      </c>
      <c r="E22" s="41"/>
      <c r="F22" s="41"/>
    </row>
    <row r="23" spans="1:35" x14ac:dyDescent="0.35">
      <c r="A23" s="42" t="s">
        <v>107</v>
      </c>
      <c r="B23" s="41"/>
      <c r="C23" s="41"/>
      <c r="D23" s="40">
        <f>SUM(T28:T59)</f>
        <v>15.306299999999997</v>
      </c>
      <c r="E23" s="41"/>
      <c r="F23" s="41"/>
    </row>
    <row r="25" spans="1:35" x14ac:dyDescent="0.35">
      <c r="A25" s="24" t="s">
        <v>108</v>
      </c>
    </row>
    <row r="26" spans="1:35" ht="66" customHeight="1" x14ac:dyDescent="0.35">
      <c r="A26" s="6" t="s">
        <v>109</v>
      </c>
      <c r="B26" s="6" t="s">
        <v>110</v>
      </c>
      <c r="C26" s="6" t="s">
        <v>111</v>
      </c>
      <c r="D26" s="6" t="s">
        <v>112</v>
      </c>
      <c r="E26" s="6" t="s">
        <v>113</v>
      </c>
      <c r="F26" s="6" t="s">
        <v>114</v>
      </c>
      <c r="G26" s="6" t="s">
        <v>115</v>
      </c>
      <c r="H26" s="6" t="s">
        <v>116</v>
      </c>
      <c r="I26" s="6" t="s">
        <v>117</v>
      </c>
      <c r="J26" s="6" t="s">
        <v>118</v>
      </c>
      <c r="K26" s="6" t="s">
        <v>119</v>
      </c>
      <c r="L26" s="6" t="s">
        <v>120</v>
      </c>
      <c r="M26" s="6" t="s">
        <v>121</v>
      </c>
      <c r="N26" s="6" t="s">
        <v>122</v>
      </c>
      <c r="O26" s="6" t="s">
        <v>123</v>
      </c>
      <c r="P26" s="6" t="s">
        <v>124</v>
      </c>
      <c r="Q26" s="6" t="s">
        <v>125</v>
      </c>
      <c r="R26" s="6" t="s">
        <v>126</v>
      </c>
      <c r="S26" s="6" t="s">
        <v>127</v>
      </c>
      <c r="T26" s="6" t="s">
        <v>128</v>
      </c>
      <c r="U26" s="6" t="s">
        <v>129</v>
      </c>
      <c r="V26" s="6" t="s">
        <v>130</v>
      </c>
      <c r="W26" s="6" t="s">
        <v>131</v>
      </c>
      <c r="X26" s="6" t="s">
        <v>132</v>
      </c>
      <c r="Y26" s="6" t="s">
        <v>133</v>
      </c>
      <c r="Z26" s="6" t="s">
        <v>134</v>
      </c>
      <c r="AA26" s="6" t="s">
        <v>135</v>
      </c>
      <c r="AB26" s="6" t="s">
        <v>136</v>
      </c>
      <c r="AC26" s="6" t="s">
        <v>137</v>
      </c>
      <c r="AD26" s="6" t="s">
        <v>138</v>
      </c>
      <c r="AE26" s="6" t="s">
        <v>139</v>
      </c>
      <c r="AF26" s="6" t="s">
        <v>140</v>
      </c>
      <c r="AG26" s="6" t="s">
        <v>141</v>
      </c>
      <c r="AH26" s="6" t="s">
        <v>142</v>
      </c>
      <c r="AI26" s="6" t="s">
        <v>143</v>
      </c>
    </row>
    <row r="27" spans="1:35" x14ac:dyDescent="0.35">
      <c r="A27" s="25">
        <v>0</v>
      </c>
      <c r="B27" s="26" t="str">
        <f t="shared" ref="B27:B59" si="0">Period_Unit&amp;" "&amp;A27</f>
        <v>Quarter 0</v>
      </c>
      <c r="C27" s="27">
        <f>Entry_Driver</f>
        <v>100</v>
      </c>
      <c r="D27" s="28">
        <f>Initial_Margin_Rate</f>
        <v>0.3</v>
      </c>
      <c r="E27" s="28">
        <f>Entry_Financing_Rate</f>
        <v>0.08</v>
      </c>
      <c r="F27" s="29"/>
      <c r="G27" s="25">
        <v>1</v>
      </c>
      <c r="H27" s="26"/>
      <c r="I27" s="26"/>
      <c r="J27" s="26"/>
      <c r="K27" s="26"/>
      <c r="L27" s="26"/>
      <c r="M27" s="30">
        <f>Initial_Position_Value</f>
        <v>180</v>
      </c>
      <c r="N27" s="26"/>
      <c r="O27" s="26"/>
      <c r="P27" s="26"/>
      <c r="Q27" s="26"/>
      <c r="R27" s="26"/>
      <c r="S27" s="26"/>
      <c r="T27" s="26"/>
      <c r="U27" s="30">
        <f>Starting_Equity</f>
        <v>100</v>
      </c>
      <c r="V27" s="30">
        <f>Initial_Loan</f>
        <v>80</v>
      </c>
      <c r="W27" s="30">
        <f>Liquidity_Reserve_0</f>
        <v>10</v>
      </c>
      <c r="X27" s="25">
        <v>1</v>
      </c>
      <c r="Y27" s="26" t="s">
        <v>144</v>
      </c>
      <c r="Z27" s="26">
        <f t="shared" ref="Z27:Z59" si="1">U27+W27</f>
        <v>110</v>
      </c>
      <c r="AA27" s="30">
        <f>Initial_Position_Value</f>
        <v>180</v>
      </c>
      <c r="AB27" s="30">
        <f>Initial_Loan</f>
        <v>80</v>
      </c>
      <c r="AC27" s="26">
        <f t="shared" ref="AC27:AC59" si="2">AA27-AB27+Liquidity_Reserve_0</f>
        <v>110</v>
      </c>
      <c r="AD27" s="26">
        <f>Z27</f>
        <v>110</v>
      </c>
      <c r="AE27" s="31">
        <v>0</v>
      </c>
      <c r="AF27" s="25">
        <v>0</v>
      </c>
      <c r="AG27" s="26">
        <v>0</v>
      </c>
      <c r="AH27" s="26">
        <f>Initial_Position_Value</f>
        <v>180</v>
      </c>
      <c r="AI27" s="25">
        <v>0</v>
      </c>
    </row>
    <row r="28" spans="1:35" x14ac:dyDescent="0.35">
      <c r="A28" s="25">
        <v>1</v>
      </c>
      <c r="B28" s="26" t="str">
        <f t="shared" si="0"/>
        <v>Quarter 1</v>
      </c>
      <c r="C28" s="32">
        <v>99.17</v>
      </c>
      <c r="D28" s="33">
        <v>0.3</v>
      </c>
      <c r="E28" s="33">
        <v>0.08</v>
      </c>
      <c r="F28" s="29">
        <f t="shared" ref="F28:F59" si="3">C28/C27-1</f>
        <v>-8.2999999999999741E-3</v>
      </c>
      <c r="G28" s="25">
        <f t="shared" ref="G28:G59" si="4">X27</f>
        <v>1</v>
      </c>
      <c r="H28" s="26">
        <f t="shared" ref="H28:H59" si="5">G28*AH27</f>
        <v>180</v>
      </c>
      <c r="I28" s="26">
        <f t="shared" ref="I28:I59" si="6">H28*F28</f>
        <v>-1.4939999999999953</v>
      </c>
      <c r="J28" s="26">
        <f t="shared" ref="J28:J59" si="7">H28*Dividend_Yield_pa*Period_Length_Yrs</f>
        <v>1.3499999999999999</v>
      </c>
      <c r="K28" s="26">
        <f t="shared" ref="K28:K59" si="8">G28*V27*E28*Period_Length_Yrs</f>
        <v>1.6</v>
      </c>
      <c r="L28" s="26">
        <f t="shared" ref="L28:L59" si="9">I28+J28-K28</f>
        <v>-1.7439999999999956</v>
      </c>
      <c r="M28" s="26">
        <f t="shared" ref="M28:M59" si="10">H28*(1+F28)</f>
        <v>178.506</v>
      </c>
      <c r="N28" s="26">
        <f t="shared" ref="N28:N59" si="11">G28*(V27+K28-J28)</f>
        <v>80.25</v>
      </c>
      <c r="O28" s="26">
        <f t="shared" ref="O28:O59" si="12">M28-N28</f>
        <v>98.256</v>
      </c>
      <c r="P28" s="26">
        <f t="shared" ref="P28:P59" si="13">D28*M28</f>
        <v>53.5518</v>
      </c>
      <c r="Q28" s="26">
        <f t="shared" ref="Q28:Q59" si="14">MAX(0,P28-O28)</f>
        <v>0</v>
      </c>
      <c r="R28" s="26">
        <f t="shared" ref="R28:R59" si="15">MIN(Q28,W27)</f>
        <v>0</v>
      </c>
      <c r="S28" s="26">
        <f t="shared" ref="S28:S59" si="16">Q28-R28</f>
        <v>0</v>
      </c>
      <c r="T28" s="26">
        <f t="shared" ref="T28:T59" si="17">IF(S28&gt;0,Liquidation_Slippage*AG28,0)</f>
        <v>0</v>
      </c>
      <c r="U28" s="26">
        <f t="shared" ref="U28:U59" si="18">IF(G28=0,U27,IF(S28&gt;0,MAX(0,O28+R28-T28),O28+R28))</f>
        <v>98.256</v>
      </c>
      <c r="V28" s="26">
        <f t="shared" ref="V28:V59" si="19">IF(G28=0,0,IF(S28&gt;0,IF(AG28&lt;M28,N28-R28-AG28*(1-Liquidation_Slippage),0),N28-R28))</f>
        <v>80.25</v>
      </c>
      <c r="W28" s="26">
        <f t="shared" ref="W28:W59" si="20">W27-R28</f>
        <v>10</v>
      </c>
      <c r="X28" s="25">
        <f t="shared" ref="X28:X59" si="21">IF(AND(G28=1,OR(S28=0,AG28&lt;M28)),1,0)</f>
        <v>1</v>
      </c>
      <c r="Y28" s="26" t="str">
        <f t="shared" ref="Y28:Y59" si="22">IF(G28=0,"Liquidated earlier",IF(AF28=1,"DEFAULT - forced liquidation",IF(AI28=1,"Shares sold to meet call",IF(Q28&gt;0,"Margin call met from reserve","OK"))))</f>
        <v>OK</v>
      </c>
      <c r="Z28" s="26">
        <f t="shared" si="1"/>
        <v>108.256</v>
      </c>
      <c r="AA28" s="26">
        <f t="shared" ref="AA28:AA59" si="23">AA27*(1+F28)</f>
        <v>178.506</v>
      </c>
      <c r="AB28" s="26">
        <f t="shared" ref="AB28:AB59" si="24">AB27*(1+E28*Period_Length_Yrs)-AA27*Dividend_Yield_pa*Period_Length_Yrs</f>
        <v>80.25</v>
      </c>
      <c r="AC28" s="26">
        <f t="shared" si="2"/>
        <v>108.256</v>
      </c>
      <c r="AD28" s="26">
        <f t="shared" ref="AD28:AD59" si="25">MAX(AD27,Z28)</f>
        <v>110</v>
      </c>
      <c r="AE28" s="31">
        <f t="shared" ref="AE28:AE59" si="26">Z28/AD28-1</f>
        <v>-1.5854545454545454E-2</v>
      </c>
      <c r="AF28" s="25">
        <f t="shared" ref="AF28:AF59" si="27">IF(AND(S28&gt;0,AG28&gt;=M28),1,0)</f>
        <v>0</v>
      </c>
      <c r="AG28" s="26">
        <f t="shared" ref="AG28:AG59" si="28">IF(S28&gt;0,IF(AND(Sell_To_Fund=1,D28&gt;Liquidation_Slippage),MIN(M28,S28/(D28-Liquidation_Slippage)),M28),0)</f>
        <v>0</v>
      </c>
      <c r="AH28" s="26">
        <f t="shared" ref="AH28:AH59" si="29">IF(G28=0,0,IF(S28&gt;0,IF(AG28&lt;M28,M28-AG28,0),M28))</f>
        <v>178.506</v>
      </c>
      <c r="AI28" s="25">
        <f t="shared" ref="AI28:AI59" si="30">IF(AND(S28&gt;0,AG28&lt;M28),1,0)</f>
        <v>0</v>
      </c>
    </row>
    <row r="29" spans="1:35" x14ac:dyDescent="0.35">
      <c r="A29" s="25">
        <v>2</v>
      </c>
      <c r="B29" s="26" t="str">
        <f t="shared" si="0"/>
        <v>Quarter 2</v>
      </c>
      <c r="C29" s="32">
        <v>91.35</v>
      </c>
      <c r="D29" s="33">
        <v>0.3</v>
      </c>
      <c r="E29" s="33">
        <v>0.08</v>
      </c>
      <c r="F29" s="29">
        <f t="shared" si="3"/>
        <v>-7.8854492285973632E-2</v>
      </c>
      <c r="G29" s="25">
        <f t="shared" si="4"/>
        <v>1</v>
      </c>
      <c r="H29" s="26">
        <f t="shared" si="5"/>
        <v>178.506</v>
      </c>
      <c r="I29" s="26">
        <f t="shared" si="6"/>
        <v>-14.076000000000009</v>
      </c>
      <c r="J29" s="26">
        <f t="shared" si="7"/>
        <v>1.338795</v>
      </c>
      <c r="K29" s="26">
        <f t="shared" si="8"/>
        <v>1.605</v>
      </c>
      <c r="L29" s="26">
        <f t="shared" si="9"/>
        <v>-14.342205000000011</v>
      </c>
      <c r="M29" s="26">
        <f t="shared" si="10"/>
        <v>164.42999999999998</v>
      </c>
      <c r="N29" s="26">
        <f t="shared" si="11"/>
        <v>80.516204999999999</v>
      </c>
      <c r="O29" s="26">
        <f t="shared" si="12"/>
        <v>83.913794999999979</v>
      </c>
      <c r="P29" s="26">
        <f t="shared" si="13"/>
        <v>49.328999999999994</v>
      </c>
      <c r="Q29" s="26">
        <f t="shared" si="14"/>
        <v>0</v>
      </c>
      <c r="R29" s="26">
        <f t="shared" si="15"/>
        <v>0</v>
      </c>
      <c r="S29" s="26">
        <f t="shared" si="16"/>
        <v>0</v>
      </c>
      <c r="T29" s="26">
        <f t="shared" si="17"/>
        <v>0</v>
      </c>
      <c r="U29" s="26">
        <f t="shared" si="18"/>
        <v>83.913794999999979</v>
      </c>
      <c r="V29" s="26">
        <f t="shared" si="19"/>
        <v>80.516204999999999</v>
      </c>
      <c r="W29" s="26">
        <f t="shared" si="20"/>
        <v>10</v>
      </c>
      <c r="X29" s="25">
        <f t="shared" si="21"/>
        <v>1</v>
      </c>
      <c r="Y29" s="26" t="str">
        <f t="shared" si="22"/>
        <v>OK</v>
      </c>
      <c r="Z29" s="26">
        <f t="shared" si="1"/>
        <v>93.913794999999979</v>
      </c>
      <c r="AA29" s="26">
        <f t="shared" si="23"/>
        <v>164.42999999999998</v>
      </c>
      <c r="AB29" s="26">
        <f t="shared" si="24"/>
        <v>80.516204999999999</v>
      </c>
      <c r="AC29" s="26">
        <f t="shared" si="2"/>
        <v>93.913794999999979</v>
      </c>
      <c r="AD29" s="26">
        <f t="shared" si="25"/>
        <v>110</v>
      </c>
      <c r="AE29" s="31">
        <f t="shared" si="26"/>
        <v>-0.14623822727272751</v>
      </c>
      <c r="AF29" s="25">
        <f t="shared" si="27"/>
        <v>0</v>
      </c>
      <c r="AG29" s="26">
        <f t="shared" si="28"/>
        <v>0</v>
      </c>
      <c r="AH29" s="26">
        <f t="shared" si="29"/>
        <v>164.42999999999998</v>
      </c>
      <c r="AI29" s="25">
        <f t="shared" si="30"/>
        <v>0</v>
      </c>
    </row>
    <row r="30" spans="1:35" x14ac:dyDescent="0.35">
      <c r="A30" s="25">
        <v>3</v>
      </c>
      <c r="B30" s="26" t="str">
        <f t="shared" si="0"/>
        <v>Quarter 3</v>
      </c>
      <c r="C30" s="32">
        <v>84.02</v>
      </c>
      <c r="D30" s="33">
        <v>0.3</v>
      </c>
      <c r="E30" s="33">
        <v>0.08</v>
      </c>
      <c r="F30" s="29">
        <f t="shared" si="3"/>
        <v>-8.0240831964969894E-2</v>
      </c>
      <c r="G30" s="25">
        <f t="shared" si="4"/>
        <v>1</v>
      </c>
      <c r="H30" s="26">
        <f t="shared" si="5"/>
        <v>164.42999999999998</v>
      </c>
      <c r="I30" s="26">
        <f t="shared" si="6"/>
        <v>-13.193999999999997</v>
      </c>
      <c r="J30" s="26">
        <f t="shared" si="7"/>
        <v>1.2332249999999998</v>
      </c>
      <c r="K30" s="26">
        <f t="shared" si="8"/>
        <v>1.6103240999999999</v>
      </c>
      <c r="L30" s="26">
        <f t="shared" si="9"/>
        <v>-13.571099099999998</v>
      </c>
      <c r="M30" s="26">
        <f t="shared" si="10"/>
        <v>151.23599999999999</v>
      </c>
      <c r="N30" s="26">
        <f t="shared" si="11"/>
        <v>80.893304099999995</v>
      </c>
      <c r="O30" s="26">
        <f t="shared" si="12"/>
        <v>70.342695899999995</v>
      </c>
      <c r="P30" s="26">
        <f t="shared" si="13"/>
        <v>45.370799999999996</v>
      </c>
      <c r="Q30" s="26">
        <f t="shared" si="14"/>
        <v>0</v>
      </c>
      <c r="R30" s="26">
        <f t="shared" si="15"/>
        <v>0</v>
      </c>
      <c r="S30" s="26">
        <f t="shared" si="16"/>
        <v>0</v>
      </c>
      <c r="T30" s="26">
        <f t="shared" si="17"/>
        <v>0</v>
      </c>
      <c r="U30" s="26">
        <f t="shared" si="18"/>
        <v>70.342695899999995</v>
      </c>
      <c r="V30" s="26">
        <f t="shared" si="19"/>
        <v>80.893304099999995</v>
      </c>
      <c r="W30" s="26">
        <f t="shared" si="20"/>
        <v>10</v>
      </c>
      <c r="X30" s="25">
        <f t="shared" si="21"/>
        <v>1</v>
      </c>
      <c r="Y30" s="26" t="str">
        <f t="shared" si="22"/>
        <v>OK</v>
      </c>
      <c r="Z30" s="26">
        <f t="shared" si="1"/>
        <v>80.342695899999995</v>
      </c>
      <c r="AA30" s="26">
        <f t="shared" si="23"/>
        <v>151.23599999999999</v>
      </c>
      <c r="AB30" s="26">
        <f t="shared" si="24"/>
        <v>80.893304099999995</v>
      </c>
      <c r="AC30" s="26">
        <f t="shared" si="2"/>
        <v>80.342695899999995</v>
      </c>
      <c r="AD30" s="26">
        <f t="shared" si="25"/>
        <v>110</v>
      </c>
      <c r="AE30" s="31">
        <f t="shared" si="26"/>
        <v>-0.26961185545454547</v>
      </c>
      <c r="AF30" s="25">
        <f t="shared" si="27"/>
        <v>0</v>
      </c>
      <c r="AG30" s="26">
        <f t="shared" si="28"/>
        <v>0</v>
      </c>
      <c r="AH30" s="26">
        <f t="shared" si="29"/>
        <v>151.23599999999999</v>
      </c>
      <c r="AI30" s="25">
        <f t="shared" si="30"/>
        <v>0</v>
      </c>
    </row>
    <row r="31" spans="1:35" x14ac:dyDescent="0.35">
      <c r="A31" s="25">
        <v>4</v>
      </c>
      <c r="B31" s="26" t="str">
        <f t="shared" si="0"/>
        <v>Quarter 4</v>
      </c>
      <c r="C31" s="32">
        <v>73.680000000000007</v>
      </c>
      <c r="D31" s="33">
        <v>0.3</v>
      </c>
      <c r="E31" s="33">
        <v>0.08</v>
      </c>
      <c r="F31" s="29">
        <f t="shared" si="3"/>
        <v>-0.12306593668174237</v>
      </c>
      <c r="G31" s="25">
        <f t="shared" si="4"/>
        <v>1</v>
      </c>
      <c r="H31" s="26">
        <f t="shared" si="5"/>
        <v>151.23599999999999</v>
      </c>
      <c r="I31" s="26">
        <f t="shared" si="6"/>
        <v>-18.611999999999988</v>
      </c>
      <c r="J31" s="26">
        <f t="shared" si="7"/>
        <v>1.1342699999999999</v>
      </c>
      <c r="K31" s="26">
        <f t="shared" si="8"/>
        <v>1.6178660819999999</v>
      </c>
      <c r="L31" s="26">
        <f t="shared" si="9"/>
        <v>-19.095596081999986</v>
      </c>
      <c r="M31" s="26">
        <f t="shared" si="10"/>
        <v>132.624</v>
      </c>
      <c r="N31" s="26">
        <f t="shared" si="11"/>
        <v>81.376900182</v>
      </c>
      <c r="O31" s="26">
        <f t="shared" si="12"/>
        <v>51.247099817999995</v>
      </c>
      <c r="P31" s="26">
        <f t="shared" si="13"/>
        <v>39.787199999999999</v>
      </c>
      <c r="Q31" s="26">
        <f t="shared" si="14"/>
        <v>0</v>
      </c>
      <c r="R31" s="26">
        <f t="shared" si="15"/>
        <v>0</v>
      </c>
      <c r="S31" s="26">
        <f t="shared" si="16"/>
        <v>0</v>
      </c>
      <c r="T31" s="26">
        <f t="shared" si="17"/>
        <v>0</v>
      </c>
      <c r="U31" s="26">
        <f t="shared" si="18"/>
        <v>51.247099817999995</v>
      </c>
      <c r="V31" s="26">
        <f t="shared" si="19"/>
        <v>81.376900182</v>
      </c>
      <c r="W31" s="26">
        <f t="shared" si="20"/>
        <v>10</v>
      </c>
      <c r="X31" s="25">
        <f t="shared" si="21"/>
        <v>1</v>
      </c>
      <c r="Y31" s="26" t="str">
        <f t="shared" si="22"/>
        <v>OK</v>
      </c>
      <c r="Z31" s="26">
        <f t="shared" si="1"/>
        <v>61.247099817999995</v>
      </c>
      <c r="AA31" s="26">
        <f t="shared" si="23"/>
        <v>132.624</v>
      </c>
      <c r="AB31" s="26">
        <f t="shared" si="24"/>
        <v>81.376900182</v>
      </c>
      <c r="AC31" s="26">
        <f t="shared" si="2"/>
        <v>61.247099817999995</v>
      </c>
      <c r="AD31" s="26">
        <f t="shared" si="25"/>
        <v>110</v>
      </c>
      <c r="AE31" s="31">
        <f t="shared" si="26"/>
        <v>-0.44320818347272728</v>
      </c>
      <c r="AF31" s="25">
        <f t="shared" si="27"/>
        <v>0</v>
      </c>
      <c r="AG31" s="26">
        <f t="shared" si="28"/>
        <v>0</v>
      </c>
      <c r="AH31" s="26">
        <f t="shared" si="29"/>
        <v>132.624</v>
      </c>
      <c r="AI31" s="25">
        <f t="shared" si="30"/>
        <v>0</v>
      </c>
    </row>
    <row r="32" spans="1:35" x14ac:dyDescent="0.35">
      <c r="A32" s="25">
        <v>5</v>
      </c>
      <c r="B32" s="26" t="str">
        <f t="shared" si="0"/>
        <v>Quarter 5</v>
      </c>
      <c r="C32" s="32">
        <v>65.319999999999993</v>
      </c>
      <c r="D32" s="33">
        <v>0.3</v>
      </c>
      <c r="E32" s="33">
        <v>0.08</v>
      </c>
      <c r="F32" s="29">
        <f t="shared" si="3"/>
        <v>-0.11346362649294262</v>
      </c>
      <c r="G32" s="25">
        <f t="shared" si="4"/>
        <v>1</v>
      </c>
      <c r="H32" s="26">
        <f t="shared" si="5"/>
        <v>132.624</v>
      </c>
      <c r="I32" s="26">
        <f t="shared" si="6"/>
        <v>-15.048000000000021</v>
      </c>
      <c r="J32" s="26">
        <f t="shared" si="7"/>
        <v>0.9946799999999999</v>
      </c>
      <c r="K32" s="26">
        <f t="shared" si="8"/>
        <v>1.62753800364</v>
      </c>
      <c r="L32" s="26">
        <f t="shared" si="9"/>
        <v>-15.68085800364002</v>
      </c>
      <c r="M32" s="26">
        <f t="shared" si="10"/>
        <v>117.57599999999998</v>
      </c>
      <c r="N32" s="26">
        <f t="shared" si="11"/>
        <v>82.009758185639996</v>
      </c>
      <c r="O32" s="26">
        <f t="shared" si="12"/>
        <v>35.566241814359984</v>
      </c>
      <c r="P32" s="26">
        <f t="shared" si="13"/>
        <v>35.272799999999989</v>
      </c>
      <c r="Q32" s="26">
        <f t="shared" si="14"/>
        <v>0</v>
      </c>
      <c r="R32" s="26">
        <f t="shared" si="15"/>
        <v>0</v>
      </c>
      <c r="S32" s="26">
        <f t="shared" si="16"/>
        <v>0</v>
      </c>
      <c r="T32" s="26">
        <f t="shared" si="17"/>
        <v>0</v>
      </c>
      <c r="U32" s="26">
        <f t="shared" si="18"/>
        <v>35.566241814359984</v>
      </c>
      <c r="V32" s="26">
        <f t="shared" si="19"/>
        <v>82.009758185639996</v>
      </c>
      <c r="W32" s="26">
        <f t="shared" si="20"/>
        <v>10</v>
      </c>
      <c r="X32" s="25">
        <f t="shared" si="21"/>
        <v>1</v>
      </c>
      <c r="Y32" s="26" t="str">
        <f t="shared" si="22"/>
        <v>OK</v>
      </c>
      <c r="Z32" s="26">
        <f t="shared" si="1"/>
        <v>45.566241814359984</v>
      </c>
      <c r="AA32" s="26">
        <f t="shared" si="23"/>
        <v>117.57599999999998</v>
      </c>
      <c r="AB32" s="26">
        <f t="shared" si="24"/>
        <v>82.009758185639996</v>
      </c>
      <c r="AC32" s="26">
        <f t="shared" si="2"/>
        <v>45.566241814359984</v>
      </c>
      <c r="AD32" s="26">
        <f t="shared" si="25"/>
        <v>110</v>
      </c>
      <c r="AE32" s="31">
        <f t="shared" si="26"/>
        <v>-0.5857614380512729</v>
      </c>
      <c r="AF32" s="25">
        <f t="shared" si="27"/>
        <v>0</v>
      </c>
      <c r="AG32" s="26">
        <f t="shared" si="28"/>
        <v>0</v>
      </c>
      <c r="AH32" s="26">
        <f t="shared" si="29"/>
        <v>117.57599999999998</v>
      </c>
      <c r="AI32" s="25">
        <f t="shared" si="30"/>
        <v>0</v>
      </c>
    </row>
    <row r="33" spans="1:35" x14ac:dyDescent="0.35">
      <c r="A33" s="25">
        <v>6</v>
      </c>
      <c r="B33" s="26" t="str">
        <f t="shared" si="0"/>
        <v>Quarter 6</v>
      </c>
      <c r="C33" s="32">
        <v>56.69</v>
      </c>
      <c r="D33" s="33">
        <v>0.3</v>
      </c>
      <c r="E33" s="33">
        <v>0.08</v>
      </c>
      <c r="F33" s="29">
        <f t="shared" si="3"/>
        <v>-0.13211879975505203</v>
      </c>
      <c r="G33" s="25">
        <f t="shared" si="4"/>
        <v>1</v>
      </c>
      <c r="H33" s="26">
        <f t="shared" si="5"/>
        <v>117.57599999999998</v>
      </c>
      <c r="I33" s="26">
        <f t="shared" si="6"/>
        <v>-15.533999999999995</v>
      </c>
      <c r="J33" s="26">
        <f t="shared" si="7"/>
        <v>0.88181999999999983</v>
      </c>
      <c r="K33" s="26">
        <f t="shared" si="8"/>
        <v>1.6401951637128001</v>
      </c>
      <c r="L33" s="26">
        <f t="shared" si="9"/>
        <v>-16.292375163712798</v>
      </c>
      <c r="M33" s="26">
        <f t="shared" si="10"/>
        <v>102.04199999999999</v>
      </c>
      <c r="N33" s="26">
        <f t="shared" si="11"/>
        <v>82.768133349352794</v>
      </c>
      <c r="O33" s="26">
        <f t="shared" si="12"/>
        <v>19.273866650647193</v>
      </c>
      <c r="P33" s="26">
        <f t="shared" si="13"/>
        <v>30.612599999999993</v>
      </c>
      <c r="Q33" s="26">
        <f t="shared" si="14"/>
        <v>11.3387333493528</v>
      </c>
      <c r="R33" s="26">
        <f t="shared" si="15"/>
        <v>10</v>
      </c>
      <c r="S33" s="26">
        <f t="shared" si="16"/>
        <v>1.3387333493528004</v>
      </c>
      <c r="T33" s="26">
        <f t="shared" si="17"/>
        <v>15.306299999999997</v>
      </c>
      <c r="U33" s="26">
        <f t="shared" si="18"/>
        <v>13.967566650647196</v>
      </c>
      <c r="V33" s="26">
        <f t="shared" si="19"/>
        <v>0</v>
      </c>
      <c r="W33" s="26">
        <f t="shared" si="20"/>
        <v>0</v>
      </c>
      <c r="X33" s="25">
        <f t="shared" si="21"/>
        <v>0</v>
      </c>
      <c r="Y33" s="26" t="str">
        <f t="shared" si="22"/>
        <v>DEFAULT - forced liquidation</v>
      </c>
      <c r="Z33" s="26">
        <f t="shared" si="1"/>
        <v>13.967566650647196</v>
      </c>
      <c r="AA33" s="26">
        <f t="shared" si="23"/>
        <v>102.04199999999999</v>
      </c>
      <c r="AB33" s="26">
        <f t="shared" si="24"/>
        <v>82.768133349352794</v>
      </c>
      <c r="AC33" s="26">
        <f t="shared" si="2"/>
        <v>29.273866650647193</v>
      </c>
      <c r="AD33" s="26">
        <f t="shared" si="25"/>
        <v>110</v>
      </c>
      <c r="AE33" s="31">
        <f t="shared" si="26"/>
        <v>-0.8730221213577527</v>
      </c>
      <c r="AF33" s="25">
        <f t="shared" si="27"/>
        <v>1</v>
      </c>
      <c r="AG33" s="26">
        <f t="shared" si="28"/>
        <v>102.04199999999999</v>
      </c>
      <c r="AH33" s="26">
        <f t="shared" si="29"/>
        <v>0</v>
      </c>
      <c r="AI33" s="25">
        <f t="shared" si="30"/>
        <v>0</v>
      </c>
    </row>
    <row r="34" spans="1:35" x14ac:dyDescent="0.35">
      <c r="A34" s="25">
        <v>7</v>
      </c>
      <c r="B34" s="26" t="str">
        <f t="shared" si="0"/>
        <v>Quarter 7</v>
      </c>
      <c r="C34" s="32">
        <v>52.67</v>
      </c>
      <c r="D34" s="33">
        <v>0.3</v>
      </c>
      <c r="E34" s="33">
        <v>0.08</v>
      </c>
      <c r="F34" s="29">
        <f t="shared" si="3"/>
        <v>-7.0911977421061811E-2</v>
      </c>
      <c r="G34" s="25">
        <f t="shared" si="4"/>
        <v>0</v>
      </c>
      <c r="H34" s="26">
        <f t="shared" si="5"/>
        <v>0</v>
      </c>
      <c r="I34" s="26">
        <f t="shared" si="6"/>
        <v>0</v>
      </c>
      <c r="J34" s="26">
        <f t="shared" si="7"/>
        <v>0</v>
      </c>
      <c r="K34" s="26">
        <f t="shared" si="8"/>
        <v>0</v>
      </c>
      <c r="L34" s="26">
        <f t="shared" si="9"/>
        <v>0</v>
      </c>
      <c r="M34" s="26">
        <f t="shared" si="10"/>
        <v>0</v>
      </c>
      <c r="N34" s="26">
        <f t="shared" si="11"/>
        <v>0</v>
      </c>
      <c r="O34" s="26">
        <f t="shared" si="12"/>
        <v>0</v>
      </c>
      <c r="P34" s="26">
        <f t="shared" si="13"/>
        <v>0</v>
      </c>
      <c r="Q34" s="26">
        <f t="shared" si="14"/>
        <v>0</v>
      </c>
      <c r="R34" s="26">
        <f t="shared" si="15"/>
        <v>0</v>
      </c>
      <c r="S34" s="26">
        <f t="shared" si="16"/>
        <v>0</v>
      </c>
      <c r="T34" s="26">
        <f t="shared" si="17"/>
        <v>0</v>
      </c>
      <c r="U34" s="26">
        <f t="shared" si="18"/>
        <v>13.967566650647196</v>
      </c>
      <c r="V34" s="26">
        <f t="shared" si="19"/>
        <v>0</v>
      </c>
      <c r="W34" s="26">
        <f t="shared" si="20"/>
        <v>0</v>
      </c>
      <c r="X34" s="25">
        <f t="shared" si="21"/>
        <v>0</v>
      </c>
      <c r="Y34" s="26" t="str">
        <f t="shared" si="22"/>
        <v>Liquidated earlier</v>
      </c>
      <c r="Z34" s="26">
        <f t="shared" si="1"/>
        <v>13.967566650647196</v>
      </c>
      <c r="AA34" s="26">
        <f t="shared" si="23"/>
        <v>94.805999999999997</v>
      </c>
      <c r="AB34" s="26">
        <f t="shared" si="24"/>
        <v>83.658181016339853</v>
      </c>
      <c r="AC34" s="26">
        <f t="shared" si="2"/>
        <v>21.147818983660144</v>
      </c>
      <c r="AD34" s="26">
        <f t="shared" si="25"/>
        <v>110</v>
      </c>
      <c r="AE34" s="31">
        <f t="shared" si="26"/>
        <v>-0.8730221213577527</v>
      </c>
      <c r="AF34" s="25">
        <f t="shared" si="27"/>
        <v>0</v>
      </c>
      <c r="AG34" s="26">
        <f t="shared" si="28"/>
        <v>0</v>
      </c>
      <c r="AH34" s="26">
        <f t="shared" si="29"/>
        <v>0</v>
      </c>
      <c r="AI34" s="25">
        <f t="shared" si="30"/>
        <v>0</v>
      </c>
    </row>
    <row r="35" spans="1:35" x14ac:dyDescent="0.35">
      <c r="A35" s="25">
        <v>8</v>
      </c>
      <c r="B35" s="26" t="str">
        <f t="shared" si="0"/>
        <v>Quarter 8</v>
      </c>
      <c r="C35" s="32">
        <v>50</v>
      </c>
      <c r="D35" s="33">
        <v>0.3</v>
      </c>
      <c r="E35" s="33">
        <v>0.08</v>
      </c>
      <c r="F35" s="29">
        <f t="shared" si="3"/>
        <v>-5.0692994114296619E-2</v>
      </c>
      <c r="G35" s="25">
        <f t="shared" si="4"/>
        <v>0</v>
      </c>
      <c r="H35" s="26">
        <f t="shared" si="5"/>
        <v>0</v>
      </c>
      <c r="I35" s="26">
        <f t="shared" si="6"/>
        <v>0</v>
      </c>
      <c r="J35" s="26">
        <f t="shared" si="7"/>
        <v>0</v>
      </c>
      <c r="K35" s="26">
        <f t="shared" si="8"/>
        <v>0</v>
      </c>
      <c r="L35" s="26">
        <f t="shared" si="9"/>
        <v>0</v>
      </c>
      <c r="M35" s="26">
        <f t="shared" si="10"/>
        <v>0</v>
      </c>
      <c r="N35" s="26">
        <f t="shared" si="11"/>
        <v>0</v>
      </c>
      <c r="O35" s="26">
        <f t="shared" si="12"/>
        <v>0</v>
      </c>
      <c r="P35" s="26">
        <f t="shared" si="13"/>
        <v>0</v>
      </c>
      <c r="Q35" s="26">
        <f t="shared" si="14"/>
        <v>0</v>
      </c>
      <c r="R35" s="26">
        <f t="shared" si="15"/>
        <v>0</v>
      </c>
      <c r="S35" s="26">
        <f t="shared" si="16"/>
        <v>0</v>
      </c>
      <c r="T35" s="26">
        <f t="shared" si="17"/>
        <v>0</v>
      </c>
      <c r="U35" s="26">
        <f t="shared" si="18"/>
        <v>13.967566650647196</v>
      </c>
      <c r="V35" s="26">
        <f t="shared" si="19"/>
        <v>0</v>
      </c>
      <c r="W35" s="26">
        <f t="shared" si="20"/>
        <v>0</v>
      </c>
      <c r="X35" s="25">
        <f t="shared" si="21"/>
        <v>0</v>
      </c>
      <c r="Y35" s="26" t="str">
        <f t="shared" si="22"/>
        <v>Liquidated earlier</v>
      </c>
      <c r="Z35" s="26">
        <f t="shared" si="1"/>
        <v>13.967566650647196</v>
      </c>
      <c r="AA35" s="26">
        <f t="shared" si="23"/>
        <v>89.999999999999986</v>
      </c>
      <c r="AB35" s="26">
        <f t="shared" si="24"/>
        <v>84.620299636666658</v>
      </c>
      <c r="AC35" s="26">
        <f t="shared" si="2"/>
        <v>15.379700363333328</v>
      </c>
      <c r="AD35" s="26">
        <f t="shared" si="25"/>
        <v>110</v>
      </c>
      <c r="AE35" s="31">
        <f t="shared" si="26"/>
        <v>-0.8730221213577527</v>
      </c>
      <c r="AF35" s="25">
        <f t="shared" si="27"/>
        <v>0</v>
      </c>
      <c r="AG35" s="26">
        <f t="shared" si="28"/>
        <v>0</v>
      </c>
      <c r="AH35" s="26">
        <f t="shared" si="29"/>
        <v>0</v>
      </c>
      <c r="AI35" s="25">
        <f t="shared" si="30"/>
        <v>0</v>
      </c>
    </row>
    <row r="36" spans="1:35" x14ac:dyDescent="0.35">
      <c r="A36" s="25">
        <v>9</v>
      </c>
      <c r="B36" s="26" t="str">
        <f t="shared" si="0"/>
        <v>Quarter 9</v>
      </c>
      <c r="C36" s="32">
        <v>51.38</v>
      </c>
      <c r="D36" s="33">
        <v>0.3</v>
      </c>
      <c r="E36" s="33">
        <v>0.08</v>
      </c>
      <c r="F36" s="29">
        <f t="shared" si="3"/>
        <v>2.7600000000000069E-2</v>
      </c>
      <c r="G36" s="25">
        <f t="shared" si="4"/>
        <v>0</v>
      </c>
      <c r="H36" s="26">
        <f t="shared" si="5"/>
        <v>0</v>
      </c>
      <c r="I36" s="26">
        <f t="shared" si="6"/>
        <v>0</v>
      </c>
      <c r="J36" s="26">
        <f t="shared" si="7"/>
        <v>0</v>
      </c>
      <c r="K36" s="26">
        <f t="shared" si="8"/>
        <v>0</v>
      </c>
      <c r="L36" s="26">
        <f t="shared" si="9"/>
        <v>0</v>
      </c>
      <c r="M36" s="26">
        <f t="shared" si="10"/>
        <v>0</v>
      </c>
      <c r="N36" s="26">
        <f t="shared" si="11"/>
        <v>0</v>
      </c>
      <c r="O36" s="26">
        <f t="shared" si="12"/>
        <v>0</v>
      </c>
      <c r="P36" s="26">
        <f t="shared" si="13"/>
        <v>0</v>
      </c>
      <c r="Q36" s="26">
        <f t="shared" si="14"/>
        <v>0</v>
      </c>
      <c r="R36" s="26">
        <f t="shared" si="15"/>
        <v>0</v>
      </c>
      <c r="S36" s="26">
        <f t="shared" si="16"/>
        <v>0</v>
      </c>
      <c r="T36" s="26">
        <f t="shared" si="17"/>
        <v>0</v>
      </c>
      <c r="U36" s="26">
        <f t="shared" si="18"/>
        <v>13.967566650647196</v>
      </c>
      <c r="V36" s="26">
        <f t="shared" si="19"/>
        <v>0</v>
      </c>
      <c r="W36" s="26">
        <f t="shared" si="20"/>
        <v>0</v>
      </c>
      <c r="X36" s="25">
        <f t="shared" si="21"/>
        <v>0</v>
      </c>
      <c r="Y36" s="26" t="str">
        <f t="shared" si="22"/>
        <v>Liquidated earlier</v>
      </c>
      <c r="Z36" s="26">
        <f t="shared" si="1"/>
        <v>13.967566650647196</v>
      </c>
      <c r="AA36" s="26">
        <f t="shared" si="23"/>
        <v>92.483999999999995</v>
      </c>
      <c r="AB36" s="26">
        <f t="shared" si="24"/>
        <v>85.637705629400003</v>
      </c>
      <c r="AC36" s="26">
        <f t="shared" si="2"/>
        <v>16.846294370599992</v>
      </c>
      <c r="AD36" s="26">
        <f t="shared" si="25"/>
        <v>110</v>
      </c>
      <c r="AE36" s="31">
        <f t="shared" si="26"/>
        <v>-0.8730221213577527</v>
      </c>
      <c r="AF36" s="25">
        <f t="shared" si="27"/>
        <v>0</v>
      </c>
      <c r="AG36" s="26">
        <f t="shared" si="28"/>
        <v>0</v>
      </c>
      <c r="AH36" s="26">
        <f t="shared" si="29"/>
        <v>0</v>
      </c>
      <c r="AI36" s="25">
        <f t="shared" si="30"/>
        <v>0</v>
      </c>
    </row>
    <row r="37" spans="1:35" x14ac:dyDescent="0.35">
      <c r="A37" s="25">
        <v>10</v>
      </c>
      <c r="B37" s="26" t="str">
        <f t="shared" si="0"/>
        <v>Quarter 10</v>
      </c>
      <c r="C37" s="32">
        <v>52.84</v>
      </c>
      <c r="D37" s="33">
        <v>0.3</v>
      </c>
      <c r="E37" s="33">
        <v>0.08</v>
      </c>
      <c r="F37" s="29">
        <f t="shared" si="3"/>
        <v>2.841572596340991E-2</v>
      </c>
      <c r="G37" s="25">
        <f t="shared" si="4"/>
        <v>0</v>
      </c>
      <c r="H37" s="26">
        <f t="shared" si="5"/>
        <v>0</v>
      </c>
      <c r="I37" s="26">
        <f t="shared" si="6"/>
        <v>0</v>
      </c>
      <c r="J37" s="26">
        <f t="shared" si="7"/>
        <v>0</v>
      </c>
      <c r="K37" s="26">
        <f t="shared" si="8"/>
        <v>0</v>
      </c>
      <c r="L37" s="26">
        <f t="shared" si="9"/>
        <v>0</v>
      </c>
      <c r="M37" s="26">
        <f t="shared" si="10"/>
        <v>0</v>
      </c>
      <c r="N37" s="26">
        <f t="shared" si="11"/>
        <v>0</v>
      </c>
      <c r="O37" s="26">
        <f t="shared" si="12"/>
        <v>0</v>
      </c>
      <c r="P37" s="26">
        <f t="shared" si="13"/>
        <v>0</v>
      </c>
      <c r="Q37" s="26">
        <f t="shared" si="14"/>
        <v>0</v>
      </c>
      <c r="R37" s="26">
        <f t="shared" si="15"/>
        <v>0</v>
      </c>
      <c r="S37" s="26">
        <f t="shared" si="16"/>
        <v>0</v>
      </c>
      <c r="T37" s="26">
        <f t="shared" si="17"/>
        <v>0</v>
      </c>
      <c r="U37" s="26">
        <f t="shared" si="18"/>
        <v>13.967566650647196</v>
      </c>
      <c r="V37" s="26">
        <f t="shared" si="19"/>
        <v>0</v>
      </c>
      <c r="W37" s="26">
        <f t="shared" si="20"/>
        <v>0</v>
      </c>
      <c r="X37" s="25">
        <f t="shared" si="21"/>
        <v>0</v>
      </c>
      <c r="Y37" s="26" t="str">
        <f t="shared" si="22"/>
        <v>Liquidated earlier</v>
      </c>
      <c r="Z37" s="26">
        <f t="shared" si="1"/>
        <v>13.967566650647196</v>
      </c>
      <c r="AA37" s="26">
        <f t="shared" si="23"/>
        <v>95.111999999999995</v>
      </c>
      <c r="AB37" s="26">
        <f t="shared" si="24"/>
        <v>86.656829741988005</v>
      </c>
      <c r="AC37" s="26">
        <f t="shared" si="2"/>
        <v>18.455170258011989</v>
      </c>
      <c r="AD37" s="26">
        <f t="shared" si="25"/>
        <v>110</v>
      </c>
      <c r="AE37" s="31">
        <f t="shared" si="26"/>
        <v>-0.8730221213577527</v>
      </c>
      <c r="AF37" s="25">
        <f t="shared" si="27"/>
        <v>0</v>
      </c>
      <c r="AG37" s="26">
        <f t="shared" si="28"/>
        <v>0</v>
      </c>
      <c r="AH37" s="26">
        <f t="shared" si="29"/>
        <v>0</v>
      </c>
      <c r="AI37" s="25">
        <f t="shared" si="30"/>
        <v>0</v>
      </c>
    </row>
    <row r="38" spans="1:35" x14ac:dyDescent="0.35">
      <c r="A38" s="25">
        <v>11</v>
      </c>
      <c r="B38" s="26" t="str">
        <f t="shared" si="0"/>
        <v>Quarter 11</v>
      </c>
      <c r="C38" s="32">
        <v>54.45</v>
      </c>
      <c r="D38" s="33">
        <v>0.3</v>
      </c>
      <c r="E38" s="33">
        <v>0.08</v>
      </c>
      <c r="F38" s="29">
        <f t="shared" si="3"/>
        <v>3.0469341408024153E-2</v>
      </c>
      <c r="G38" s="25">
        <f t="shared" si="4"/>
        <v>0</v>
      </c>
      <c r="H38" s="26">
        <f t="shared" si="5"/>
        <v>0</v>
      </c>
      <c r="I38" s="26">
        <f t="shared" si="6"/>
        <v>0</v>
      </c>
      <c r="J38" s="26">
        <f t="shared" si="7"/>
        <v>0</v>
      </c>
      <c r="K38" s="26">
        <f t="shared" si="8"/>
        <v>0</v>
      </c>
      <c r="L38" s="26">
        <f t="shared" si="9"/>
        <v>0</v>
      </c>
      <c r="M38" s="26">
        <f t="shared" si="10"/>
        <v>0</v>
      </c>
      <c r="N38" s="26">
        <f t="shared" si="11"/>
        <v>0</v>
      </c>
      <c r="O38" s="26">
        <f t="shared" si="12"/>
        <v>0</v>
      </c>
      <c r="P38" s="26">
        <f t="shared" si="13"/>
        <v>0</v>
      </c>
      <c r="Q38" s="26">
        <f t="shared" si="14"/>
        <v>0</v>
      </c>
      <c r="R38" s="26">
        <f t="shared" si="15"/>
        <v>0</v>
      </c>
      <c r="S38" s="26">
        <f t="shared" si="16"/>
        <v>0</v>
      </c>
      <c r="T38" s="26">
        <f t="shared" si="17"/>
        <v>0</v>
      </c>
      <c r="U38" s="26">
        <f t="shared" si="18"/>
        <v>13.967566650647196</v>
      </c>
      <c r="V38" s="26">
        <f t="shared" si="19"/>
        <v>0</v>
      </c>
      <c r="W38" s="26">
        <f t="shared" si="20"/>
        <v>0</v>
      </c>
      <c r="X38" s="25">
        <f t="shared" si="21"/>
        <v>0</v>
      </c>
      <c r="Y38" s="26" t="str">
        <f t="shared" si="22"/>
        <v>Liquidated earlier</v>
      </c>
      <c r="Z38" s="26">
        <f t="shared" si="1"/>
        <v>13.967566650647196</v>
      </c>
      <c r="AA38" s="26">
        <f t="shared" si="23"/>
        <v>98.009999999999991</v>
      </c>
      <c r="AB38" s="26">
        <f t="shared" si="24"/>
        <v>87.676626336827766</v>
      </c>
      <c r="AC38" s="26">
        <f t="shared" si="2"/>
        <v>20.333373663172225</v>
      </c>
      <c r="AD38" s="26">
        <f t="shared" si="25"/>
        <v>110</v>
      </c>
      <c r="AE38" s="31">
        <f t="shared" si="26"/>
        <v>-0.8730221213577527</v>
      </c>
      <c r="AF38" s="25">
        <f t="shared" si="27"/>
        <v>0</v>
      </c>
      <c r="AG38" s="26">
        <f t="shared" si="28"/>
        <v>0</v>
      </c>
      <c r="AH38" s="26">
        <f t="shared" si="29"/>
        <v>0</v>
      </c>
      <c r="AI38" s="25">
        <f t="shared" si="30"/>
        <v>0</v>
      </c>
    </row>
    <row r="39" spans="1:35" x14ac:dyDescent="0.35">
      <c r="A39" s="25">
        <v>12</v>
      </c>
      <c r="B39" s="26" t="str">
        <f t="shared" si="0"/>
        <v>Quarter 12</v>
      </c>
      <c r="C39" s="32">
        <v>57.14</v>
      </c>
      <c r="D39" s="33">
        <v>0.3</v>
      </c>
      <c r="E39" s="33">
        <v>0.08</v>
      </c>
      <c r="F39" s="29">
        <f t="shared" si="3"/>
        <v>4.9403122130394772E-2</v>
      </c>
      <c r="G39" s="25">
        <f t="shared" si="4"/>
        <v>0</v>
      </c>
      <c r="H39" s="26">
        <f t="shared" si="5"/>
        <v>0</v>
      </c>
      <c r="I39" s="26">
        <f t="shared" si="6"/>
        <v>0</v>
      </c>
      <c r="J39" s="26">
        <f t="shared" si="7"/>
        <v>0</v>
      </c>
      <c r="K39" s="26">
        <f t="shared" si="8"/>
        <v>0</v>
      </c>
      <c r="L39" s="26">
        <f t="shared" si="9"/>
        <v>0</v>
      </c>
      <c r="M39" s="26">
        <f t="shared" si="10"/>
        <v>0</v>
      </c>
      <c r="N39" s="26">
        <f t="shared" si="11"/>
        <v>0</v>
      </c>
      <c r="O39" s="26">
        <f t="shared" si="12"/>
        <v>0</v>
      </c>
      <c r="P39" s="26">
        <f t="shared" si="13"/>
        <v>0</v>
      </c>
      <c r="Q39" s="26">
        <f t="shared" si="14"/>
        <v>0</v>
      </c>
      <c r="R39" s="26">
        <f t="shared" si="15"/>
        <v>0</v>
      </c>
      <c r="S39" s="26">
        <f t="shared" si="16"/>
        <v>0</v>
      </c>
      <c r="T39" s="26">
        <f t="shared" si="17"/>
        <v>0</v>
      </c>
      <c r="U39" s="26">
        <f t="shared" si="18"/>
        <v>13.967566650647196</v>
      </c>
      <c r="V39" s="26">
        <f t="shared" si="19"/>
        <v>0</v>
      </c>
      <c r="W39" s="26">
        <f t="shared" si="20"/>
        <v>0</v>
      </c>
      <c r="X39" s="25">
        <f t="shared" si="21"/>
        <v>0</v>
      </c>
      <c r="Y39" s="26" t="str">
        <f t="shared" si="22"/>
        <v>Liquidated earlier</v>
      </c>
      <c r="Z39" s="26">
        <f t="shared" si="1"/>
        <v>13.967566650647196</v>
      </c>
      <c r="AA39" s="26">
        <f t="shared" si="23"/>
        <v>102.85199999999998</v>
      </c>
      <c r="AB39" s="26">
        <f t="shared" si="24"/>
        <v>88.695083863564335</v>
      </c>
      <c r="AC39" s="26">
        <f t="shared" si="2"/>
        <v>24.15691613643564</v>
      </c>
      <c r="AD39" s="26">
        <f t="shared" si="25"/>
        <v>110</v>
      </c>
      <c r="AE39" s="31">
        <f t="shared" si="26"/>
        <v>-0.8730221213577527</v>
      </c>
      <c r="AF39" s="25">
        <f t="shared" si="27"/>
        <v>0</v>
      </c>
      <c r="AG39" s="26">
        <f t="shared" si="28"/>
        <v>0</v>
      </c>
      <c r="AH39" s="26">
        <f t="shared" si="29"/>
        <v>0</v>
      </c>
      <c r="AI39" s="25">
        <f t="shared" si="30"/>
        <v>0</v>
      </c>
    </row>
    <row r="40" spans="1:35" x14ac:dyDescent="0.35">
      <c r="A40" s="25">
        <v>13</v>
      </c>
      <c r="B40" s="26" t="str">
        <f t="shared" si="0"/>
        <v>Quarter 13</v>
      </c>
      <c r="C40" s="32">
        <v>62.14</v>
      </c>
      <c r="D40" s="33">
        <v>0.3</v>
      </c>
      <c r="E40" s="33">
        <v>0.08</v>
      </c>
      <c r="F40" s="29">
        <f t="shared" si="3"/>
        <v>8.7504375218760977E-2</v>
      </c>
      <c r="G40" s="25">
        <f t="shared" si="4"/>
        <v>0</v>
      </c>
      <c r="H40" s="26">
        <f t="shared" si="5"/>
        <v>0</v>
      </c>
      <c r="I40" s="26">
        <f t="shared" si="6"/>
        <v>0</v>
      </c>
      <c r="J40" s="26">
        <f t="shared" si="7"/>
        <v>0</v>
      </c>
      <c r="K40" s="26">
        <f t="shared" si="8"/>
        <v>0</v>
      </c>
      <c r="L40" s="26">
        <f t="shared" si="9"/>
        <v>0</v>
      </c>
      <c r="M40" s="26">
        <f t="shared" si="10"/>
        <v>0</v>
      </c>
      <c r="N40" s="26">
        <f t="shared" si="11"/>
        <v>0</v>
      </c>
      <c r="O40" s="26">
        <f t="shared" si="12"/>
        <v>0</v>
      </c>
      <c r="P40" s="26">
        <f t="shared" si="13"/>
        <v>0</v>
      </c>
      <c r="Q40" s="26">
        <f t="shared" si="14"/>
        <v>0</v>
      </c>
      <c r="R40" s="26">
        <f t="shared" si="15"/>
        <v>0</v>
      </c>
      <c r="S40" s="26">
        <f t="shared" si="16"/>
        <v>0</v>
      </c>
      <c r="T40" s="26">
        <f t="shared" si="17"/>
        <v>0</v>
      </c>
      <c r="U40" s="26">
        <f t="shared" si="18"/>
        <v>13.967566650647196</v>
      </c>
      <c r="V40" s="26">
        <f t="shared" si="19"/>
        <v>0</v>
      </c>
      <c r="W40" s="26">
        <f t="shared" si="20"/>
        <v>0</v>
      </c>
      <c r="X40" s="25">
        <f t="shared" si="21"/>
        <v>0</v>
      </c>
      <c r="Y40" s="26" t="str">
        <f t="shared" si="22"/>
        <v>Liquidated earlier</v>
      </c>
      <c r="Z40" s="26">
        <f t="shared" si="1"/>
        <v>13.967566650647196</v>
      </c>
      <c r="AA40" s="26">
        <f t="shared" si="23"/>
        <v>111.85199999999998</v>
      </c>
      <c r="AB40" s="26">
        <f t="shared" si="24"/>
        <v>89.697595540835621</v>
      </c>
      <c r="AC40" s="26">
        <f t="shared" si="2"/>
        <v>32.154404459164354</v>
      </c>
      <c r="AD40" s="26">
        <f t="shared" si="25"/>
        <v>110</v>
      </c>
      <c r="AE40" s="31">
        <f t="shared" si="26"/>
        <v>-0.8730221213577527</v>
      </c>
      <c r="AF40" s="25">
        <f t="shared" si="27"/>
        <v>0</v>
      </c>
      <c r="AG40" s="26">
        <f t="shared" si="28"/>
        <v>0</v>
      </c>
      <c r="AH40" s="26">
        <f t="shared" si="29"/>
        <v>0</v>
      </c>
      <c r="AI40" s="25">
        <f t="shared" si="30"/>
        <v>0</v>
      </c>
    </row>
    <row r="41" spans="1:35" x14ac:dyDescent="0.35">
      <c r="A41" s="25">
        <v>14</v>
      </c>
      <c r="B41" s="26" t="str">
        <f t="shared" si="0"/>
        <v>Quarter 14</v>
      </c>
      <c r="C41" s="32">
        <v>65.930000000000007</v>
      </c>
      <c r="D41" s="33">
        <v>0.3</v>
      </c>
      <c r="E41" s="33">
        <v>0.08</v>
      </c>
      <c r="F41" s="29">
        <f t="shared" si="3"/>
        <v>6.099130994528501E-2</v>
      </c>
      <c r="G41" s="25">
        <f t="shared" si="4"/>
        <v>0</v>
      </c>
      <c r="H41" s="26">
        <f t="shared" si="5"/>
        <v>0</v>
      </c>
      <c r="I41" s="26">
        <f t="shared" si="6"/>
        <v>0</v>
      </c>
      <c r="J41" s="26">
        <f t="shared" si="7"/>
        <v>0</v>
      </c>
      <c r="K41" s="26">
        <f t="shared" si="8"/>
        <v>0</v>
      </c>
      <c r="L41" s="26">
        <f t="shared" si="9"/>
        <v>0</v>
      </c>
      <c r="M41" s="26">
        <f t="shared" si="10"/>
        <v>0</v>
      </c>
      <c r="N41" s="26">
        <f t="shared" si="11"/>
        <v>0</v>
      </c>
      <c r="O41" s="26">
        <f t="shared" si="12"/>
        <v>0</v>
      </c>
      <c r="P41" s="26">
        <f t="shared" si="13"/>
        <v>0</v>
      </c>
      <c r="Q41" s="26">
        <f t="shared" si="14"/>
        <v>0</v>
      </c>
      <c r="R41" s="26">
        <f t="shared" si="15"/>
        <v>0</v>
      </c>
      <c r="S41" s="26">
        <f t="shared" si="16"/>
        <v>0</v>
      </c>
      <c r="T41" s="26">
        <f t="shared" si="17"/>
        <v>0</v>
      </c>
      <c r="U41" s="26">
        <f t="shared" si="18"/>
        <v>13.967566650647196</v>
      </c>
      <c r="V41" s="26">
        <f t="shared" si="19"/>
        <v>0</v>
      </c>
      <c r="W41" s="26">
        <f t="shared" si="20"/>
        <v>0</v>
      </c>
      <c r="X41" s="25">
        <f t="shared" si="21"/>
        <v>0</v>
      </c>
      <c r="Y41" s="26" t="str">
        <f t="shared" si="22"/>
        <v>Liquidated earlier</v>
      </c>
      <c r="Z41" s="26">
        <f t="shared" si="1"/>
        <v>13.967566650647196</v>
      </c>
      <c r="AA41" s="26">
        <f t="shared" si="23"/>
        <v>118.67399999999999</v>
      </c>
      <c r="AB41" s="26">
        <f t="shared" si="24"/>
        <v>90.652657451652331</v>
      </c>
      <c r="AC41" s="26">
        <f t="shared" si="2"/>
        <v>38.021342548347661</v>
      </c>
      <c r="AD41" s="26">
        <f t="shared" si="25"/>
        <v>110</v>
      </c>
      <c r="AE41" s="31">
        <f t="shared" si="26"/>
        <v>-0.8730221213577527</v>
      </c>
      <c r="AF41" s="25">
        <f t="shared" si="27"/>
        <v>0</v>
      </c>
      <c r="AG41" s="26">
        <f t="shared" si="28"/>
        <v>0</v>
      </c>
      <c r="AH41" s="26">
        <f t="shared" si="29"/>
        <v>0</v>
      </c>
      <c r="AI41" s="25">
        <f t="shared" si="30"/>
        <v>0</v>
      </c>
    </row>
    <row r="42" spans="1:35" x14ac:dyDescent="0.35">
      <c r="A42" s="25">
        <v>15</v>
      </c>
      <c r="B42" s="26" t="str">
        <f t="shared" si="0"/>
        <v>Quarter 15</v>
      </c>
      <c r="C42" s="32">
        <v>72.48</v>
      </c>
      <c r="D42" s="33">
        <v>0.3</v>
      </c>
      <c r="E42" s="33">
        <v>0.08</v>
      </c>
      <c r="F42" s="29">
        <f t="shared" si="3"/>
        <v>9.9347793113908622E-2</v>
      </c>
      <c r="G42" s="25">
        <f t="shared" si="4"/>
        <v>0</v>
      </c>
      <c r="H42" s="26">
        <f t="shared" si="5"/>
        <v>0</v>
      </c>
      <c r="I42" s="26">
        <f t="shared" si="6"/>
        <v>0</v>
      </c>
      <c r="J42" s="26">
        <f t="shared" si="7"/>
        <v>0</v>
      </c>
      <c r="K42" s="26">
        <f t="shared" si="8"/>
        <v>0</v>
      </c>
      <c r="L42" s="26">
        <f t="shared" si="9"/>
        <v>0</v>
      </c>
      <c r="M42" s="26">
        <f t="shared" si="10"/>
        <v>0</v>
      </c>
      <c r="N42" s="26">
        <f t="shared" si="11"/>
        <v>0</v>
      </c>
      <c r="O42" s="26">
        <f t="shared" si="12"/>
        <v>0</v>
      </c>
      <c r="P42" s="26">
        <f t="shared" si="13"/>
        <v>0</v>
      </c>
      <c r="Q42" s="26">
        <f t="shared" si="14"/>
        <v>0</v>
      </c>
      <c r="R42" s="26">
        <f t="shared" si="15"/>
        <v>0</v>
      </c>
      <c r="S42" s="26">
        <f t="shared" si="16"/>
        <v>0</v>
      </c>
      <c r="T42" s="26">
        <f t="shared" si="17"/>
        <v>0</v>
      </c>
      <c r="U42" s="26">
        <f t="shared" si="18"/>
        <v>13.967566650647196</v>
      </c>
      <c r="V42" s="26">
        <f t="shared" si="19"/>
        <v>0</v>
      </c>
      <c r="W42" s="26">
        <f t="shared" si="20"/>
        <v>0</v>
      </c>
      <c r="X42" s="25">
        <f t="shared" si="21"/>
        <v>0</v>
      </c>
      <c r="Y42" s="26" t="str">
        <f t="shared" si="22"/>
        <v>Liquidated earlier</v>
      </c>
      <c r="Z42" s="26">
        <f t="shared" si="1"/>
        <v>13.967566650647196</v>
      </c>
      <c r="AA42" s="26">
        <f t="shared" si="23"/>
        <v>130.46399999999997</v>
      </c>
      <c r="AB42" s="26">
        <f t="shared" si="24"/>
        <v>91.57565560068538</v>
      </c>
      <c r="AC42" s="26">
        <f t="shared" si="2"/>
        <v>48.88834439931459</v>
      </c>
      <c r="AD42" s="26">
        <f t="shared" si="25"/>
        <v>110</v>
      </c>
      <c r="AE42" s="31">
        <f t="shared" si="26"/>
        <v>-0.8730221213577527</v>
      </c>
      <c r="AF42" s="25">
        <f t="shared" si="27"/>
        <v>0</v>
      </c>
      <c r="AG42" s="26">
        <f t="shared" si="28"/>
        <v>0</v>
      </c>
      <c r="AH42" s="26">
        <f t="shared" si="29"/>
        <v>0</v>
      </c>
      <c r="AI42" s="25">
        <f t="shared" si="30"/>
        <v>0</v>
      </c>
    </row>
    <row r="43" spans="1:35" x14ac:dyDescent="0.35">
      <c r="A43" s="25">
        <v>16</v>
      </c>
      <c r="B43" s="26" t="str">
        <f t="shared" si="0"/>
        <v>Quarter 16</v>
      </c>
      <c r="C43" s="32">
        <v>80.47</v>
      </c>
      <c r="D43" s="33">
        <v>0.3</v>
      </c>
      <c r="E43" s="33">
        <v>0.08</v>
      </c>
      <c r="F43" s="29">
        <f t="shared" si="3"/>
        <v>0.11023730684326694</v>
      </c>
      <c r="G43" s="25">
        <f t="shared" si="4"/>
        <v>0</v>
      </c>
      <c r="H43" s="26">
        <f t="shared" si="5"/>
        <v>0</v>
      </c>
      <c r="I43" s="26">
        <f t="shared" si="6"/>
        <v>0</v>
      </c>
      <c r="J43" s="26">
        <f t="shared" si="7"/>
        <v>0</v>
      </c>
      <c r="K43" s="26">
        <f t="shared" si="8"/>
        <v>0</v>
      </c>
      <c r="L43" s="26">
        <f t="shared" si="9"/>
        <v>0</v>
      </c>
      <c r="M43" s="26">
        <f t="shared" si="10"/>
        <v>0</v>
      </c>
      <c r="N43" s="26">
        <f t="shared" si="11"/>
        <v>0</v>
      </c>
      <c r="O43" s="26">
        <f t="shared" si="12"/>
        <v>0</v>
      </c>
      <c r="P43" s="26">
        <f t="shared" si="13"/>
        <v>0</v>
      </c>
      <c r="Q43" s="26">
        <f t="shared" si="14"/>
        <v>0</v>
      </c>
      <c r="R43" s="26">
        <f t="shared" si="15"/>
        <v>0</v>
      </c>
      <c r="S43" s="26">
        <f t="shared" si="16"/>
        <v>0</v>
      </c>
      <c r="T43" s="26">
        <f t="shared" si="17"/>
        <v>0</v>
      </c>
      <c r="U43" s="26">
        <f t="shared" si="18"/>
        <v>13.967566650647196</v>
      </c>
      <c r="V43" s="26">
        <f t="shared" si="19"/>
        <v>0</v>
      </c>
      <c r="W43" s="26">
        <f t="shared" si="20"/>
        <v>0</v>
      </c>
      <c r="X43" s="25">
        <f t="shared" si="21"/>
        <v>0</v>
      </c>
      <c r="Y43" s="26" t="str">
        <f t="shared" si="22"/>
        <v>Liquidated earlier</v>
      </c>
      <c r="Z43" s="26">
        <f t="shared" si="1"/>
        <v>13.967566650647196</v>
      </c>
      <c r="AA43" s="26">
        <f t="shared" si="23"/>
        <v>144.84599999999995</v>
      </c>
      <c r="AB43" s="26">
        <f t="shared" si="24"/>
        <v>92.428688712699085</v>
      </c>
      <c r="AC43" s="26">
        <f t="shared" si="2"/>
        <v>62.417311287300862</v>
      </c>
      <c r="AD43" s="26">
        <f t="shared" si="25"/>
        <v>110</v>
      </c>
      <c r="AE43" s="31">
        <f t="shared" si="26"/>
        <v>-0.8730221213577527</v>
      </c>
      <c r="AF43" s="25">
        <f t="shared" si="27"/>
        <v>0</v>
      </c>
      <c r="AG43" s="26">
        <f t="shared" si="28"/>
        <v>0</v>
      </c>
      <c r="AH43" s="26">
        <f t="shared" si="29"/>
        <v>0</v>
      </c>
      <c r="AI43" s="25">
        <f t="shared" si="30"/>
        <v>0</v>
      </c>
    </row>
    <row r="44" spans="1:35" x14ac:dyDescent="0.35">
      <c r="A44" s="25">
        <v>17</v>
      </c>
      <c r="B44" s="26" t="str">
        <f t="shared" si="0"/>
        <v>Quarter 17</v>
      </c>
      <c r="C44" s="32">
        <v>86.1</v>
      </c>
      <c r="D44" s="33">
        <v>0.3</v>
      </c>
      <c r="E44" s="33">
        <v>0.08</v>
      </c>
      <c r="F44" s="29">
        <f t="shared" si="3"/>
        <v>6.9963961724866408E-2</v>
      </c>
      <c r="G44" s="25">
        <f t="shared" si="4"/>
        <v>0</v>
      </c>
      <c r="H44" s="26">
        <f t="shared" si="5"/>
        <v>0</v>
      </c>
      <c r="I44" s="26">
        <f t="shared" si="6"/>
        <v>0</v>
      </c>
      <c r="J44" s="26">
        <f t="shared" si="7"/>
        <v>0</v>
      </c>
      <c r="K44" s="26">
        <f t="shared" si="8"/>
        <v>0</v>
      </c>
      <c r="L44" s="26">
        <f t="shared" si="9"/>
        <v>0</v>
      </c>
      <c r="M44" s="26">
        <f t="shared" si="10"/>
        <v>0</v>
      </c>
      <c r="N44" s="26">
        <f t="shared" si="11"/>
        <v>0</v>
      </c>
      <c r="O44" s="26">
        <f t="shared" si="12"/>
        <v>0</v>
      </c>
      <c r="P44" s="26">
        <f t="shared" si="13"/>
        <v>0</v>
      </c>
      <c r="Q44" s="26">
        <f t="shared" si="14"/>
        <v>0</v>
      </c>
      <c r="R44" s="26">
        <f t="shared" si="15"/>
        <v>0</v>
      </c>
      <c r="S44" s="26">
        <f t="shared" si="16"/>
        <v>0</v>
      </c>
      <c r="T44" s="26">
        <f t="shared" si="17"/>
        <v>0</v>
      </c>
      <c r="U44" s="26">
        <f t="shared" si="18"/>
        <v>13.967566650647196</v>
      </c>
      <c r="V44" s="26">
        <f t="shared" si="19"/>
        <v>0</v>
      </c>
      <c r="W44" s="26">
        <f t="shared" si="20"/>
        <v>0</v>
      </c>
      <c r="X44" s="25">
        <f t="shared" si="21"/>
        <v>0</v>
      </c>
      <c r="Y44" s="26" t="str">
        <f t="shared" si="22"/>
        <v>Liquidated earlier</v>
      </c>
      <c r="Z44" s="26">
        <f t="shared" si="1"/>
        <v>13.967566650647196</v>
      </c>
      <c r="AA44" s="26">
        <f t="shared" si="23"/>
        <v>154.97999999999993</v>
      </c>
      <c r="AB44" s="26">
        <f t="shared" si="24"/>
        <v>93.190917486953069</v>
      </c>
      <c r="AC44" s="26">
        <f t="shared" si="2"/>
        <v>71.789082513046864</v>
      </c>
      <c r="AD44" s="26">
        <f t="shared" si="25"/>
        <v>110</v>
      </c>
      <c r="AE44" s="31">
        <f t="shared" si="26"/>
        <v>-0.8730221213577527</v>
      </c>
      <c r="AF44" s="25">
        <f t="shared" si="27"/>
        <v>0</v>
      </c>
      <c r="AG44" s="26">
        <f t="shared" si="28"/>
        <v>0</v>
      </c>
      <c r="AH44" s="26">
        <f t="shared" si="29"/>
        <v>0</v>
      </c>
      <c r="AI44" s="25">
        <f t="shared" si="30"/>
        <v>0</v>
      </c>
    </row>
    <row r="45" spans="1:35" x14ac:dyDescent="0.35">
      <c r="A45" s="25">
        <v>18</v>
      </c>
      <c r="B45" s="26" t="str">
        <f t="shared" si="0"/>
        <v>Quarter 18</v>
      </c>
      <c r="C45" s="32">
        <v>91.32</v>
      </c>
      <c r="D45" s="33">
        <v>0.3</v>
      </c>
      <c r="E45" s="33">
        <v>0.08</v>
      </c>
      <c r="F45" s="29">
        <f t="shared" si="3"/>
        <v>6.0627177700348422E-2</v>
      </c>
      <c r="G45" s="25">
        <f t="shared" si="4"/>
        <v>0</v>
      </c>
      <c r="H45" s="26">
        <f t="shared" si="5"/>
        <v>0</v>
      </c>
      <c r="I45" s="26">
        <f t="shared" si="6"/>
        <v>0</v>
      </c>
      <c r="J45" s="26">
        <f t="shared" si="7"/>
        <v>0</v>
      </c>
      <c r="K45" s="26">
        <f t="shared" si="8"/>
        <v>0</v>
      </c>
      <c r="L45" s="26">
        <f t="shared" si="9"/>
        <v>0</v>
      </c>
      <c r="M45" s="26">
        <f t="shared" si="10"/>
        <v>0</v>
      </c>
      <c r="N45" s="26">
        <f t="shared" si="11"/>
        <v>0</v>
      </c>
      <c r="O45" s="26">
        <f t="shared" si="12"/>
        <v>0</v>
      </c>
      <c r="P45" s="26">
        <f t="shared" si="13"/>
        <v>0</v>
      </c>
      <c r="Q45" s="26">
        <f t="shared" si="14"/>
        <v>0</v>
      </c>
      <c r="R45" s="26">
        <f t="shared" si="15"/>
        <v>0</v>
      </c>
      <c r="S45" s="26">
        <f t="shared" si="16"/>
        <v>0</v>
      </c>
      <c r="T45" s="26">
        <f t="shared" si="17"/>
        <v>0</v>
      </c>
      <c r="U45" s="26">
        <f t="shared" si="18"/>
        <v>13.967566650647196</v>
      </c>
      <c r="V45" s="26">
        <f t="shared" si="19"/>
        <v>0</v>
      </c>
      <c r="W45" s="26">
        <f t="shared" si="20"/>
        <v>0</v>
      </c>
      <c r="X45" s="25">
        <f t="shared" si="21"/>
        <v>0</v>
      </c>
      <c r="Y45" s="26" t="str">
        <f t="shared" si="22"/>
        <v>Liquidated earlier</v>
      </c>
      <c r="Z45" s="26">
        <f t="shared" si="1"/>
        <v>13.967566650647196</v>
      </c>
      <c r="AA45" s="26">
        <f t="shared" si="23"/>
        <v>164.37599999999992</v>
      </c>
      <c r="AB45" s="26">
        <f t="shared" si="24"/>
        <v>93.892385836692128</v>
      </c>
      <c r="AC45" s="26">
        <f t="shared" si="2"/>
        <v>80.483614163307792</v>
      </c>
      <c r="AD45" s="26">
        <f t="shared" si="25"/>
        <v>110</v>
      </c>
      <c r="AE45" s="31">
        <f t="shared" si="26"/>
        <v>-0.8730221213577527</v>
      </c>
      <c r="AF45" s="25">
        <f t="shared" si="27"/>
        <v>0</v>
      </c>
      <c r="AG45" s="26">
        <f t="shared" si="28"/>
        <v>0</v>
      </c>
      <c r="AH45" s="26">
        <f t="shared" si="29"/>
        <v>0</v>
      </c>
      <c r="AI45" s="25">
        <f t="shared" si="30"/>
        <v>0</v>
      </c>
    </row>
    <row r="46" spans="1:35" x14ac:dyDescent="0.35">
      <c r="A46" s="25">
        <v>19</v>
      </c>
      <c r="B46" s="26" t="str">
        <f t="shared" si="0"/>
        <v>Quarter 19</v>
      </c>
      <c r="C46" s="32">
        <v>98.06</v>
      </c>
      <c r="D46" s="33">
        <v>0.3</v>
      </c>
      <c r="E46" s="33">
        <v>0.08</v>
      </c>
      <c r="F46" s="29">
        <f t="shared" si="3"/>
        <v>7.3806395094174526E-2</v>
      </c>
      <c r="G46" s="25">
        <f t="shared" si="4"/>
        <v>0</v>
      </c>
      <c r="H46" s="26">
        <f t="shared" si="5"/>
        <v>0</v>
      </c>
      <c r="I46" s="26">
        <f t="shared" si="6"/>
        <v>0</v>
      </c>
      <c r="J46" s="26">
        <f t="shared" si="7"/>
        <v>0</v>
      </c>
      <c r="K46" s="26">
        <f t="shared" si="8"/>
        <v>0</v>
      </c>
      <c r="L46" s="26">
        <f t="shared" si="9"/>
        <v>0</v>
      </c>
      <c r="M46" s="26">
        <f t="shared" si="10"/>
        <v>0</v>
      </c>
      <c r="N46" s="26">
        <f t="shared" si="11"/>
        <v>0</v>
      </c>
      <c r="O46" s="26">
        <f t="shared" si="12"/>
        <v>0</v>
      </c>
      <c r="P46" s="26">
        <f t="shared" si="13"/>
        <v>0</v>
      </c>
      <c r="Q46" s="26">
        <f t="shared" si="14"/>
        <v>0</v>
      </c>
      <c r="R46" s="26">
        <f t="shared" si="15"/>
        <v>0</v>
      </c>
      <c r="S46" s="26">
        <f t="shared" si="16"/>
        <v>0</v>
      </c>
      <c r="T46" s="26">
        <f t="shared" si="17"/>
        <v>0</v>
      </c>
      <c r="U46" s="26">
        <f t="shared" si="18"/>
        <v>13.967566650647196</v>
      </c>
      <c r="V46" s="26">
        <f t="shared" si="19"/>
        <v>0</v>
      </c>
      <c r="W46" s="26">
        <f t="shared" si="20"/>
        <v>0</v>
      </c>
      <c r="X46" s="25">
        <f t="shared" si="21"/>
        <v>0</v>
      </c>
      <c r="Y46" s="26" t="str">
        <f t="shared" si="22"/>
        <v>Liquidated earlier</v>
      </c>
      <c r="Z46" s="26">
        <f t="shared" si="1"/>
        <v>13.967566650647196</v>
      </c>
      <c r="AA46" s="26">
        <f t="shared" si="23"/>
        <v>176.50799999999995</v>
      </c>
      <c r="AB46" s="26">
        <f t="shared" si="24"/>
        <v>94.537413553425964</v>
      </c>
      <c r="AC46" s="26">
        <f t="shared" si="2"/>
        <v>91.970586446573989</v>
      </c>
      <c r="AD46" s="26">
        <f t="shared" si="25"/>
        <v>110</v>
      </c>
      <c r="AE46" s="31">
        <f t="shared" si="26"/>
        <v>-0.8730221213577527</v>
      </c>
      <c r="AF46" s="25">
        <f t="shared" si="27"/>
        <v>0</v>
      </c>
      <c r="AG46" s="26">
        <f t="shared" si="28"/>
        <v>0</v>
      </c>
      <c r="AH46" s="26">
        <f t="shared" si="29"/>
        <v>0</v>
      </c>
      <c r="AI46" s="25">
        <f t="shared" si="30"/>
        <v>0</v>
      </c>
    </row>
    <row r="47" spans="1:35" x14ac:dyDescent="0.35">
      <c r="A47" s="25">
        <v>20</v>
      </c>
      <c r="B47" s="26" t="str">
        <f t="shared" si="0"/>
        <v>Quarter 20</v>
      </c>
      <c r="C47" s="32">
        <v>105.7</v>
      </c>
      <c r="D47" s="33">
        <v>0.3</v>
      </c>
      <c r="E47" s="33">
        <v>0.08</v>
      </c>
      <c r="F47" s="29">
        <f t="shared" si="3"/>
        <v>7.7911482765653739E-2</v>
      </c>
      <c r="G47" s="25">
        <f t="shared" si="4"/>
        <v>0</v>
      </c>
      <c r="H47" s="26">
        <f t="shared" si="5"/>
        <v>0</v>
      </c>
      <c r="I47" s="26">
        <f t="shared" si="6"/>
        <v>0</v>
      </c>
      <c r="J47" s="26">
        <f t="shared" si="7"/>
        <v>0</v>
      </c>
      <c r="K47" s="26">
        <f t="shared" si="8"/>
        <v>0</v>
      </c>
      <c r="L47" s="26">
        <f t="shared" si="9"/>
        <v>0</v>
      </c>
      <c r="M47" s="26">
        <f t="shared" si="10"/>
        <v>0</v>
      </c>
      <c r="N47" s="26">
        <f t="shared" si="11"/>
        <v>0</v>
      </c>
      <c r="O47" s="26">
        <f t="shared" si="12"/>
        <v>0</v>
      </c>
      <c r="P47" s="26">
        <f t="shared" si="13"/>
        <v>0</v>
      </c>
      <c r="Q47" s="26">
        <f t="shared" si="14"/>
        <v>0</v>
      </c>
      <c r="R47" s="26">
        <f t="shared" si="15"/>
        <v>0</v>
      </c>
      <c r="S47" s="26">
        <f t="shared" si="16"/>
        <v>0</v>
      </c>
      <c r="T47" s="26">
        <f t="shared" si="17"/>
        <v>0</v>
      </c>
      <c r="U47" s="26">
        <f t="shared" si="18"/>
        <v>13.967566650647196</v>
      </c>
      <c r="V47" s="26">
        <f t="shared" si="19"/>
        <v>0</v>
      </c>
      <c r="W47" s="26">
        <f t="shared" si="20"/>
        <v>0</v>
      </c>
      <c r="X47" s="25">
        <f t="shared" si="21"/>
        <v>0</v>
      </c>
      <c r="Y47" s="26" t="str">
        <f t="shared" si="22"/>
        <v>Liquidated earlier</v>
      </c>
      <c r="Z47" s="26">
        <f t="shared" si="1"/>
        <v>13.967566650647196</v>
      </c>
      <c r="AA47" s="26">
        <f t="shared" si="23"/>
        <v>190.25999999999996</v>
      </c>
      <c r="AB47" s="26">
        <f t="shared" si="24"/>
        <v>95.104351824494486</v>
      </c>
      <c r="AC47" s="26">
        <f t="shared" si="2"/>
        <v>105.15564817550548</v>
      </c>
      <c r="AD47" s="26">
        <f t="shared" si="25"/>
        <v>110</v>
      </c>
      <c r="AE47" s="31">
        <f t="shared" si="26"/>
        <v>-0.8730221213577527</v>
      </c>
      <c r="AF47" s="25">
        <f t="shared" si="27"/>
        <v>0</v>
      </c>
      <c r="AG47" s="26">
        <f t="shared" si="28"/>
        <v>0</v>
      </c>
      <c r="AH47" s="26">
        <f t="shared" si="29"/>
        <v>0</v>
      </c>
      <c r="AI47" s="25">
        <f t="shared" si="30"/>
        <v>0</v>
      </c>
    </row>
    <row r="48" spans="1:35" x14ac:dyDescent="0.35">
      <c r="A48" s="25">
        <v>21</v>
      </c>
      <c r="B48" s="26" t="str">
        <f t="shared" si="0"/>
        <v>Quarter 21</v>
      </c>
      <c r="C48" s="32">
        <v>113.95</v>
      </c>
      <c r="D48" s="33">
        <v>0.3</v>
      </c>
      <c r="E48" s="33">
        <v>0.08</v>
      </c>
      <c r="F48" s="29">
        <f t="shared" si="3"/>
        <v>7.8051087984862821E-2</v>
      </c>
      <c r="G48" s="25">
        <f t="shared" si="4"/>
        <v>0</v>
      </c>
      <c r="H48" s="26">
        <f t="shared" si="5"/>
        <v>0</v>
      </c>
      <c r="I48" s="26">
        <f t="shared" si="6"/>
        <v>0</v>
      </c>
      <c r="J48" s="26">
        <f t="shared" si="7"/>
        <v>0</v>
      </c>
      <c r="K48" s="26">
        <f t="shared" si="8"/>
        <v>0</v>
      </c>
      <c r="L48" s="26">
        <f t="shared" si="9"/>
        <v>0</v>
      </c>
      <c r="M48" s="26">
        <f t="shared" si="10"/>
        <v>0</v>
      </c>
      <c r="N48" s="26">
        <f t="shared" si="11"/>
        <v>0</v>
      </c>
      <c r="O48" s="26">
        <f t="shared" si="12"/>
        <v>0</v>
      </c>
      <c r="P48" s="26">
        <f t="shared" si="13"/>
        <v>0</v>
      </c>
      <c r="Q48" s="26">
        <f t="shared" si="14"/>
        <v>0</v>
      </c>
      <c r="R48" s="26">
        <f t="shared" si="15"/>
        <v>0</v>
      </c>
      <c r="S48" s="26">
        <f t="shared" si="16"/>
        <v>0</v>
      </c>
      <c r="T48" s="26">
        <f t="shared" si="17"/>
        <v>0</v>
      </c>
      <c r="U48" s="26">
        <f t="shared" si="18"/>
        <v>13.967566650647196</v>
      </c>
      <c r="V48" s="26">
        <f t="shared" si="19"/>
        <v>0</v>
      </c>
      <c r="W48" s="26">
        <f t="shared" si="20"/>
        <v>0</v>
      </c>
      <c r="X48" s="25">
        <f t="shared" si="21"/>
        <v>0</v>
      </c>
      <c r="Y48" s="26" t="str">
        <f t="shared" si="22"/>
        <v>Liquidated earlier</v>
      </c>
      <c r="Z48" s="26">
        <f t="shared" si="1"/>
        <v>13.967566650647196</v>
      </c>
      <c r="AA48" s="26">
        <f t="shared" si="23"/>
        <v>205.10999999999996</v>
      </c>
      <c r="AB48" s="26">
        <f t="shared" si="24"/>
        <v>95.57948886098437</v>
      </c>
      <c r="AC48" s="26">
        <f t="shared" si="2"/>
        <v>119.53051113901559</v>
      </c>
      <c r="AD48" s="26">
        <f t="shared" si="25"/>
        <v>110</v>
      </c>
      <c r="AE48" s="31">
        <f t="shared" si="26"/>
        <v>-0.8730221213577527</v>
      </c>
      <c r="AF48" s="25">
        <f t="shared" si="27"/>
        <v>0</v>
      </c>
      <c r="AG48" s="26">
        <f t="shared" si="28"/>
        <v>0</v>
      </c>
      <c r="AH48" s="26">
        <f t="shared" si="29"/>
        <v>0</v>
      </c>
      <c r="AI48" s="25">
        <f t="shared" si="30"/>
        <v>0</v>
      </c>
    </row>
    <row r="49" spans="1:35" x14ac:dyDescent="0.35">
      <c r="A49" s="25">
        <v>22</v>
      </c>
      <c r="B49" s="26" t="str">
        <f t="shared" si="0"/>
        <v>Quarter 22</v>
      </c>
      <c r="C49" s="32">
        <v>120.84</v>
      </c>
      <c r="D49" s="33">
        <v>0.3</v>
      </c>
      <c r="E49" s="33">
        <v>0.08</v>
      </c>
      <c r="F49" s="29">
        <f t="shared" si="3"/>
        <v>6.0465116279069697E-2</v>
      </c>
      <c r="G49" s="25">
        <f t="shared" si="4"/>
        <v>0</v>
      </c>
      <c r="H49" s="26">
        <f t="shared" si="5"/>
        <v>0</v>
      </c>
      <c r="I49" s="26">
        <f t="shared" si="6"/>
        <v>0</v>
      </c>
      <c r="J49" s="26">
        <f t="shared" si="7"/>
        <v>0</v>
      </c>
      <c r="K49" s="26">
        <f t="shared" si="8"/>
        <v>0</v>
      </c>
      <c r="L49" s="26">
        <f t="shared" si="9"/>
        <v>0</v>
      </c>
      <c r="M49" s="26">
        <f t="shared" si="10"/>
        <v>0</v>
      </c>
      <c r="N49" s="26">
        <f t="shared" si="11"/>
        <v>0</v>
      </c>
      <c r="O49" s="26">
        <f t="shared" si="12"/>
        <v>0</v>
      </c>
      <c r="P49" s="26">
        <f t="shared" si="13"/>
        <v>0</v>
      </c>
      <c r="Q49" s="26">
        <f t="shared" si="14"/>
        <v>0</v>
      </c>
      <c r="R49" s="26">
        <f t="shared" si="15"/>
        <v>0</v>
      </c>
      <c r="S49" s="26">
        <f t="shared" si="16"/>
        <v>0</v>
      </c>
      <c r="T49" s="26">
        <f t="shared" si="17"/>
        <v>0</v>
      </c>
      <c r="U49" s="26">
        <f t="shared" si="18"/>
        <v>13.967566650647196</v>
      </c>
      <c r="V49" s="26">
        <f t="shared" si="19"/>
        <v>0</v>
      </c>
      <c r="W49" s="26">
        <f t="shared" si="20"/>
        <v>0</v>
      </c>
      <c r="X49" s="25">
        <f t="shared" si="21"/>
        <v>0</v>
      </c>
      <c r="Y49" s="26" t="str">
        <f t="shared" si="22"/>
        <v>Liquidated earlier</v>
      </c>
      <c r="Z49" s="26">
        <f t="shared" si="1"/>
        <v>13.967566650647196</v>
      </c>
      <c r="AA49" s="26">
        <f t="shared" si="23"/>
        <v>217.51199999999994</v>
      </c>
      <c r="AB49" s="26">
        <f t="shared" si="24"/>
        <v>95.952753638204058</v>
      </c>
      <c r="AC49" s="26">
        <f t="shared" si="2"/>
        <v>131.55924636179589</v>
      </c>
      <c r="AD49" s="26">
        <f t="shared" si="25"/>
        <v>110</v>
      </c>
      <c r="AE49" s="31">
        <f t="shared" si="26"/>
        <v>-0.8730221213577527</v>
      </c>
      <c r="AF49" s="25">
        <f t="shared" si="27"/>
        <v>0</v>
      </c>
      <c r="AG49" s="26">
        <f t="shared" si="28"/>
        <v>0</v>
      </c>
      <c r="AH49" s="26">
        <f t="shared" si="29"/>
        <v>0</v>
      </c>
      <c r="AI49" s="25">
        <f t="shared" si="30"/>
        <v>0</v>
      </c>
    </row>
    <row r="50" spans="1:35" x14ac:dyDescent="0.35">
      <c r="A50" s="25">
        <v>23</v>
      </c>
      <c r="B50" s="26" t="str">
        <f t="shared" si="0"/>
        <v>Quarter 23</v>
      </c>
      <c r="C50" s="32">
        <v>129.63</v>
      </c>
      <c r="D50" s="33">
        <v>0.3</v>
      </c>
      <c r="E50" s="33">
        <v>0.08</v>
      </c>
      <c r="F50" s="29">
        <f t="shared" si="3"/>
        <v>7.2740814299900647E-2</v>
      </c>
      <c r="G50" s="25">
        <f t="shared" si="4"/>
        <v>0</v>
      </c>
      <c r="H50" s="26">
        <f t="shared" si="5"/>
        <v>0</v>
      </c>
      <c r="I50" s="26">
        <f t="shared" si="6"/>
        <v>0</v>
      </c>
      <c r="J50" s="26">
        <f t="shared" si="7"/>
        <v>0</v>
      </c>
      <c r="K50" s="26">
        <f t="shared" si="8"/>
        <v>0</v>
      </c>
      <c r="L50" s="26">
        <f t="shared" si="9"/>
        <v>0</v>
      </c>
      <c r="M50" s="26">
        <f t="shared" si="10"/>
        <v>0</v>
      </c>
      <c r="N50" s="26">
        <f t="shared" si="11"/>
        <v>0</v>
      </c>
      <c r="O50" s="26">
        <f t="shared" si="12"/>
        <v>0</v>
      </c>
      <c r="P50" s="26">
        <f t="shared" si="13"/>
        <v>0</v>
      </c>
      <c r="Q50" s="26">
        <f t="shared" si="14"/>
        <v>0</v>
      </c>
      <c r="R50" s="26">
        <f t="shared" si="15"/>
        <v>0</v>
      </c>
      <c r="S50" s="26">
        <f t="shared" si="16"/>
        <v>0</v>
      </c>
      <c r="T50" s="26">
        <f t="shared" si="17"/>
        <v>0</v>
      </c>
      <c r="U50" s="26">
        <f t="shared" si="18"/>
        <v>13.967566650647196</v>
      </c>
      <c r="V50" s="26">
        <f t="shared" si="19"/>
        <v>0</v>
      </c>
      <c r="W50" s="26">
        <f t="shared" si="20"/>
        <v>0</v>
      </c>
      <c r="X50" s="25">
        <f t="shared" si="21"/>
        <v>0</v>
      </c>
      <c r="Y50" s="26" t="str">
        <f t="shared" si="22"/>
        <v>Liquidated earlier</v>
      </c>
      <c r="Z50" s="26">
        <f t="shared" si="1"/>
        <v>13.967566650647196</v>
      </c>
      <c r="AA50" s="26">
        <f t="shared" si="23"/>
        <v>233.33399999999992</v>
      </c>
      <c r="AB50" s="26">
        <f t="shared" si="24"/>
        <v>96.240468710968145</v>
      </c>
      <c r="AC50" s="26">
        <f t="shared" si="2"/>
        <v>147.09353128903177</v>
      </c>
      <c r="AD50" s="26">
        <f t="shared" si="25"/>
        <v>110</v>
      </c>
      <c r="AE50" s="31">
        <f t="shared" si="26"/>
        <v>-0.8730221213577527</v>
      </c>
      <c r="AF50" s="25">
        <f t="shared" si="27"/>
        <v>0</v>
      </c>
      <c r="AG50" s="26">
        <f t="shared" si="28"/>
        <v>0</v>
      </c>
      <c r="AH50" s="26">
        <f t="shared" si="29"/>
        <v>0</v>
      </c>
      <c r="AI50" s="25">
        <f t="shared" si="30"/>
        <v>0</v>
      </c>
    </row>
    <row r="51" spans="1:35" x14ac:dyDescent="0.35">
      <c r="A51" s="25">
        <v>24</v>
      </c>
      <c r="B51" s="26" t="str">
        <f t="shared" si="0"/>
        <v>Quarter 24</v>
      </c>
      <c r="C51" s="32">
        <v>134.83000000000001</v>
      </c>
      <c r="D51" s="33">
        <v>0.3</v>
      </c>
      <c r="E51" s="33">
        <v>0.08</v>
      </c>
      <c r="F51" s="29">
        <f t="shared" si="3"/>
        <v>4.0114171102368479E-2</v>
      </c>
      <c r="G51" s="25">
        <f t="shared" si="4"/>
        <v>0</v>
      </c>
      <c r="H51" s="26">
        <f t="shared" si="5"/>
        <v>0</v>
      </c>
      <c r="I51" s="26">
        <f t="shared" si="6"/>
        <v>0</v>
      </c>
      <c r="J51" s="26">
        <f t="shared" si="7"/>
        <v>0</v>
      </c>
      <c r="K51" s="26">
        <f t="shared" si="8"/>
        <v>0</v>
      </c>
      <c r="L51" s="26">
        <f t="shared" si="9"/>
        <v>0</v>
      </c>
      <c r="M51" s="26">
        <f t="shared" si="10"/>
        <v>0</v>
      </c>
      <c r="N51" s="26">
        <f t="shared" si="11"/>
        <v>0</v>
      </c>
      <c r="O51" s="26">
        <f t="shared" si="12"/>
        <v>0</v>
      </c>
      <c r="P51" s="26">
        <f t="shared" si="13"/>
        <v>0</v>
      </c>
      <c r="Q51" s="26">
        <f t="shared" si="14"/>
        <v>0</v>
      </c>
      <c r="R51" s="26">
        <f t="shared" si="15"/>
        <v>0</v>
      </c>
      <c r="S51" s="26">
        <f t="shared" si="16"/>
        <v>0</v>
      </c>
      <c r="T51" s="26">
        <f t="shared" si="17"/>
        <v>0</v>
      </c>
      <c r="U51" s="26">
        <f t="shared" si="18"/>
        <v>13.967566650647196</v>
      </c>
      <c r="V51" s="26">
        <f t="shared" si="19"/>
        <v>0</v>
      </c>
      <c r="W51" s="26">
        <f t="shared" si="20"/>
        <v>0</v>
      </c>
      <c r="X51" s="25">
        <f t="shared" si="21"/>
        <v>0</v>
      </c>
      <c r="Y51" s="26" t="str">
        <f t="shared" si="22"/>
        <v>Liquidated earlier</v>
      </c>
      <c r="Z51" s="26">
        <f t="shared" si="1"/>
        <v>13.967566650647196</v>
      </c>
      <c r="AA51" s="26">
        <f t="shared" si="23"/>
        <v>242.69399999999996</v>
      </c>
      <c r="AB51" s="26">
        <f t="shared" si="24"/>
        <v>96.415273085187508</v>
      </c>
      <c r="AC51" s="26">
        <f t="shared" si="2"/>
        <v>156.27872691481247</v>
      </c>
      <c r="AD51" s="26">
        <f t="shared" si="25"/>
        <v>110</v>
      </c>
      <c r="AE51" s="31">
        <f t="shared" si="26"/>
        <v>-0.8730221213577527</v>
      </c>
      <c r="AF51" s="25">
        <f t="shared" si="27"/>
        <v>0</v>
      </c>
      <c r="AG51" s="26">
        <f t="shared" si="28"/>
        <v>0</v>
      </c>
      <c r="AH51" s="26">
        <f t="shared" si="29"/>
        <v>0</v>
      </c>
      <c r="AI51" s="25">
        <f t="shared" si="30"/>
        <v>0</v>
      </c>
    </row>
    <row r="52" spans="1:35" x14ac:dyDescent="0.35">
      <c r="A52" s="25">
        <v>25</v>
      </c>
      <c r="B52" s="26" t="str">
        <f t="shared" si="0"/>
        <v>Quarter 25</v>
      </c>
      <c r="C52" s="32">
        <v>142.03</v>
      </c>
      <c r="D52" s="33">
        <v>0.3</v>
      </c>
      <c r="E52" s="33">
        <v>0.08</v>
      </c>
      <c r="F52" s="29">
        <f t="shared" si="3"/>
        <v>5.3400578506267005E-2</v>
      </c>
      <c r="G52" s="25">
        <f t="shared" si="4"/>
        <v>0</v>
      </c>
      <c r="H52" s="26">
        <f t="shared" si="5"/>
        <v>0</v>
      </c>
      <c r="I52" s="26">
        <f t="shared" si="6"/>
        <v>0</v>
      </c>
      <c r="J52" s="26">
        <f t="shared" si="7"/>
        <v>0</v>
      </c>
      <c r="K52" s="26">
        <f t="shared" si="8"/>
        <v>0</v>
      </c>
      <c r="L52" s="26">
        <f t="shared" si="9"/>
        <v>0</v>
      </c>
      <c r="M52" s="26">
        <f t="shared" si="10"/>
        <v>0</v>
      </c>
      <c r="N52" s="26">
        <f t="shared" si="11"/>
        <v>0</v>
      </c>
      <c r="O52" s="26">
        <f t="shared" si="12"/>
        <v>0</v>
      </c>
      <c r="P52" s="26">
        <f t="shared" si="13"/>
        <v>0</v>
      </c>
      <c r="Q52" s="26">
        <f t="shared" si="14"/>
        <v>0</v>
      </c>
      <c r="R52" s="26">
        <f t="shared" si="15"/>
        <v>0</v>
      </c>
      <c r="S52" s="26">
        <f t="shared" si="16"/>
        <v>0</v>
      </c>
      <c r="T52" s="26">
        <f t="shared" si="17"/>
        <v>0</v>
      </c>
      <c r="U52" s="26">
        <f t="shared" si="18"/>
        <v>13.967566650647196</v>
      </c>
      <c r="V52" s="26">
        <f t="shared" si="19"/>
        <v>0</v>
      </c>
      <c r="W52" s="26">
        <f t="shared" si="20"/>
        <v>0</v>
      </c>
      <c r="X52" s="25">
        <f t="shared" si="21"/>
        <v>0</v>
      </c>
      <c r="Y52" s="26" t="str">
        <f t="shared" si="22"/>
        <v>Liquidated earlier</v>
      </c>
      <c r="Z52" s="26">
        <f t="shared" si="1"/>
        <v>13.967566650647196</v>
      </c>
      <c r="AA52" s="26">
        <f t="shared" si="23"/>
        <v>255.65399999999991</v>
      </c>
      <c r="AB52" s="26">
        <f t="shared" si="24"/>
        <v>96.523373546891264</v>
      </c>
      <c r="AC52" s="26">
        <f t="shared" si="2"/>
        <v>169.13062645310865</v>
      </c>
      <c r="AD52" s="26">
        <f t="shared" si="25"/>
        <v>110</v>
      </c>
      <c r="AE52" s="31">
        <f t="shared" si="26"/>
        <v>-0.8730221213577527</v>
      </c>
      <c r="AF52" s="25">
        <f t="shared" si="27"/>
        <v>0</v>
      </c>
      <c r="AG52" s="26">
        <f t="shared" si="28"/>
        <v>0</v>
      </c>
      <c r="AH52" s="26">
        <f t="shared" si="29"/>
        <v>0</v>
      </c>
      <c r="AI52" s="25">
        <f t="shared" si="30"/>
        <v>0</v>
      </c>
    </row>
    <row r="53" spans="1:35" x14ac:dyDescent="0.35">
      <c r="A53" s="25">
        <v>26</v>
      </c>
      <c r="B53" s="26" t="str">
        <f t="shared" si="0"/>
        <v>Quarter 26</v>
      </c>
      <c r="C53" s="32">
        <v>145.31</v>
      </c>
      <c r="D53" s="33">
        <v>0.3</v>
      </c>
      <c r="E53" s="33">
        <v>0.08</v>
      </c>
      <c r="F53" s="29">
        <f t="shared" si="3"/>
        <v>2.3093712595930516E-2</v>
      </c>
      <c r="G53" s="25">
        <f t="shared" si="4"/>
        <v>0</v>
      </c>
      <c r="H53" s="26">
        <f t="shared" si="5"/>
        <v>0</v>
      </c>
      <c r="I53" s="26">
        <f t="shared" si="6"/>
        <v>0</v>
      </c>
      <c r="J53" s="26">
        <f t="shared" si="7"/>
        <v>0</v>
      </c>
      <c r="K53" s="26">
        <f t="shared" si="8"/>
        <v>0</v>
      </c>
      <c r="L53" s="26">
        <f t="shared" si="9"/>
        <v>0</v>
      </c>
      <c r="M53" s="26">
        <f t="shared" si="10"/>
        <v>0</v>
      </c>
      <c r="N53" s="26">
        <f t="shared" si="11"/>
        <v>0</v>
      </c>
      <c r="O53" s="26">
        <f t="shared" si="12"/>
        <v>0</v>
      </c>
      <c r="P53" s="26">
        <f t="shared" si="13"/>
        <v>0</v>
      </c>
      <c r="Q53" s="26">
        <f t="shared" si="14"/>
        <v>0</v>
      </c>
      <c r="R53" s="26">
        <f t="shared" si="15"/>
        <v>0</v>
      </c>
      <c r="S53" s="26">
        <f t="shared" si="16"/>
        <v>0</v>
      </c>
      <c r="T53" s="26">
        <f t="shared" si="17"/>
        <v>0</v>
      </c>
      <c r="U53" s="26">
        <f t="shared" si="18"/>
        <v>13.967566650647196</v>
      </c>
      <c r="V53" s="26">
        <f t="shared" si="19"/>
        <v>0</v>
      </c>
      <c r="W53" s="26">
        <f t="shared" si="20"/>
        <v>0</v>
      </c>
      <c r="X53" s="25">
        <f t="shared" si="21"/>
        <v>0</v>
      </c>
      <c r="Y53" s="26" t="str">
        <f t="shared" si="22"/>
        <v>Liquidated earlier</v>
      </c>
      <c r="Z53" s="26">
        <f t="shared" si="1"/>
        <v>13.967566650647196</v>
      </c>
      <c r="AA53" s="26">
        <f t="shared" si="23"/>
        <v>261.55799999999994</v>
      </c>
      <c r="AB53" s="26">
        <f t="shared" si="24"/>
        <v>96.536436017829089</v>
      </c>
      <c r="AC53" s="26">
        <f t="shared" si="2"/>
        <v>175.02156398217085</v>
      </c>
      <c r="AD53" s="26">
        <f t="shared" si="25"/>
        <v>110</v>
      </c>
      <c r="AE53" s="31">
        <f t="shared" si="26"/>
        <v>-0.8730221213577527</v>
      </c>
      <c r="AF53" s="25">
        <f t="shared" si="27"/>
        <v>0</v>
      </c>
      <c r="AG53" s="26">
        <f t="shared" si="28"/>
        <v>0</v>
      </c>
      <c r="AH53" s="26">
        <f t="shared" si="29"/>
        <v>0</v>
      </c>
      <c r="AI53" s="25">
        <f t="shared" si="30"/>
        <v>0</v>
      </c>
    </row>
    <row r="54" spans="1:35" x14ac:dyDescent="0.35">
      <c r="A54" s="25">
        <v>27</v>
      </c>
      <c r="B54" s="26" t="str">
        <f t="shared" si="0"/>
        <v>Quarter 27</v>
      </c>
      <c r="C54" s="32">
        <v>150.47999999999999</v>
      </c>
      <c r="D54" s="33">
        <v>0.3</v>
      </c>
      <c r="E54" s="33">
        <v>0.08</v>
      </c>
      <c r="F54" s="29">
        <f t="shared" si="3"/>
        <v>3.5579106737320121E-2</v>
      </c>
      <c r="G54" s="25">
        <f t="shared" si="4"/>
        <v>0</v>
      </c>
      <c r="H54" s="26">
        <f t="shared" si="5"/>
        <v>0</v>
      </c>
      <c r="I54" s="26">
        <f t="shared" si="6"/>
        <v>0</v>
      </c>
      <c r="J54" s="26">
        <f t="shared" si="7"/>
        <v>0</v>
      </c>
      <c r="K54" s="26">
        <f t="shared" si="8"/>
        <v>0</v>
      </c>
      <c r="L54" s="26">
        <f t="shared" si="9"/>
        <v>0</v>
      </c>
      <c r="M54" s="26">
        <f t="shared" si="10"/>
        <v>0</v>
      </c>
      <c r="N54" s="26">
        <f t="shared" si="11"/>
        <v>0</v>
      </c>
      <c r="O54" s="26">
        <f t="shared" si="12"/>
        <v>0</v>
      </c>
      <c r="P54" s="26">
        <f t="shared" si="13"/>
        <v>0</v>
      </c>
      <c r="Q54" s="26">
        <f t="shared" si="14"/>
        <v>0</v>
      </c>
      <c r="R54" s="26">
        <f t="shared" si="15"/>
        <v>0</v>
      </c>
      <c r="S54" s="26">
        <f t="shared" si="16"/>
        <v>0</v>
      </c>
      <c r="T54" s="26">
        <f t="shared" si="17"/>
        <v>0</v>
      </c>
      <c r="U54" s="26">
        <f t="shared" si="18"/>
        <v>13.967566650647196</v>
      </c>
      <c r="V54" s="26">
        <f t="shared" si="19"/>
        <v>0</v>
      </c>
      <c r="W54" s="26">
        <f t="shared" si="20"/>
        <v>0</v>
      </c>
      <c r="X54" s="25">
        <f t="shared" si="21"/>
        <v>0</v>
      </c>
      <c r="Y54" s="26" t="str">
        <f t="shared" si="22"/>
        <v>Liquidated earlier</v>
      </c>
      <c r="Z54" s="26">
        <f t="shared" si="1"/>
        <v>13.967566650647196</v>
      </c>
      <c r="AA54" s="26">
        <f t="shared" si="23"/>
        <v>270.86399999999992</v>
      </c>
      <c r="AB54" s="26">
        <f t="shared" si="24"/>
        <v>96.50547973818567</v>
      </c>
      <c r="AC54" s="26">
        <f t="shared" si="2"/>
        <v>184.35852026181425</v>
      </c>
      <c r="AD54" s="26">
        <f t="shared" si="25"/>
        <v>110</v>
      </c>
      <c r="AE54" s="31">
        <f t="shared" si="26"/>
        <v>-0.8730221213577527</v>
      </c>
      <c r="AF54" s="25">
        <f t="shared" si="27"/>
        <v>0</v>
      </c>
      <c r="AG54" s="26">
        <f t="shared" si="28"/>
        <v>0</v>
      </c>
      <c r="AH54" s="26">
        <f t="shared" si="29"/>
        <v>0</v>
      </c>
      <c r="AI54" s="25">
        <f t="shared" si="30"/>
        <v>0</v>
      </c>
    </row>
    <row r="55" spans="1:35" x14ac:dyDescent="0.35">
      <c r="A55" s="25">
        <v>28</v>
      </c>
      <c r="B55" s="26" t="str">
        <f t="shared" si="0"/>
        <v>Quarter 28</v>
      </c>
      <c r="C55" s="32">
        <v>156.65</v>
      </c>
      <c r="D55" s="33">
        <v>0.3</v>
      </c>
      <c r="E55" s="33">
        <v>0.08</v>
      </c>
      <c r="F55" s="29">
        <f t="shared" si="3"/>
        <v>4.1002126528442373E-2</v>
      </c>
      <c r="G55" s="25">
        <f t="shared" si="4"/>
        <v>0</v>
      </c>
      <c r="H55" s="26">
        <f t="shared" si="5"/>
        <v>0</v>
      </c>
      <c r="I55" s="26">
        <f t="shared" si="6"/>
        <v>0</v>
      </c>
      <c r="J55" s="26">
        <f t="shared" si="7"/>
        <v>0</v>
      </c>
      <c r="K55" s="26">
        <f t="shared" si="8"/>
        <v>0</v>
      </c>
      <c r="L55" s="26">
        <f t="shared" si="9"/>
        <v>0</v>
      </c>
      <c r="M55" s="26">
        <f t="shared" si="10"/>
        <v>0</v>
      </c>
      <c r="N55" s="26">
        <f t="shared" si="11"/>
        <v>0</v>
      </c>
      <c r="O55" s="26">
        <f t="shared" si="12"/>
        <v>0</v>
      </c>
      <c r="P55" s="26">
        <f t="shared" si="13"/>
        <v>0</v>
      </c>
      <c r="Q55" s="26">
        <f t="shared" si="14"/>
        <v>0</v>
      </c>
      <c r="R55" s="26">
        <f t="shared" si="15"/>
        <v>0</v>
      </c>
      <c r="S55" s="26">
        <f t="shared" si="16"/>
        <v>0</v>
      </c>
      <c r="T55" s="26">
        <f t="shared" si="17"/>
        <v>0</v>
      </c>
      <c r="U55" s="26">
        <f t="shared" si="18"/>
        <v>13.967566650647196</v>
      </c>
      <c r="V55" s="26">
        <f t="shared" si="19"/>
        <v>0</v>
      </c>
      <c r="W55" s="26">
        <f t="shared" si="20"/>
        <v>0</v>
      </c>
      <c r="X55" s="25">
        <f t="shared" si="21"/>
        <v>0</v>
      </c>
      <c r="Y55" s="26" t="str">
        <f t="shared" si="22"/>
        <v>Liquidated earlier</v>
      </c>
      <c r="Z55" s="26">
        <f t="shared" si="1"/>
        <v>13.967566650647196</v>
      </c>
      <c r="AA55" s="26">
        <f t="shared" si="23"/>
        <v>281.96999999999991</v>
      </c>
      <c r="AB55" s="26">
        <f t="shared" si="24"/>
        <v>96.404109332949389</v>
      </c>
      <c r="AC55" s="26">
        <f t="shared" si="2"/>
        <v>195.56589066705052</v>
      </c>
      <c r="AD55" s="26">
        <f t="shared" si="25"/>
        <v>110</v>
      </c>
      <c r="AE55" s="31">
        <f t="shared" si="26"/>
        <v>-0.8730221213577527</v>
      </c>
      <c r="AF55" s="25">
        <f t="shared" si="27"/>
        <v>0</v>
      </c>
      <c r="AG55" s="26">
        <f t="shared" si="28"/>
        <v>0</v>
      </c>
      <c r="AH55" s="26">
        <f t="shared" si="29"/>
        <v>0</v>
      </c>
      <c r="AI55" s="25">
        <f t="shared" si="30"/>
        <v>0</v>
      </c>
    </row>
    <row r="56" spans="1:35" x14ac:dyDescent="0.35">
      <c r="A56" s="25">
        <v>29</v>
      </c>
      <c r="B56" s="26" t="str">
        <f t="shared" si="0"/>
        <v>Quarter 29</v>
      </c>
      <c r="C56" s="32">
        <v>161.62</v>
      </c>
      <c r="D56" s="33">
        <v>0.3</v>
      </c>
      <c r="E56" s="33">
        <v>0.08</v>
      </c>
      <c r="F56" s="29">
        <f t="shared" si="3"/>
        <v>3.1726779444621656E-2</v>
      </c>
      <c r="G56" s="25">
        <f t="shared" si="4"/>
        <v>0</v>
      </c>
      <c r="H56" s="26">
        <f t="shared" si="5"/>
        <v>0</v>
      </c>
      <c r="I56" s="26">
        <f t="shared" si="6"/>
        <v>0</v>
      </c>
      <c r="J56" s="26">
        <f t="shared" si="7"/>
        <v>0</v>
      </c>
      <c r="K56" s="26">
        <f t="shared" si="8"/>
        <v>0</v>
      </c>
      <c r="L56" s="26">
        <f t="shared" si="9"/>
        <v>0</v>
      </c>
      <c r="M56" s="26">
        <f t="shared" si="10"/>
        <v>0</v>
      </c>
      <c r="N56" s="26">
        <f t="shared" si="11"/>
        <v>0</v>
      </c>
      <c r="O56" s="26">
        <f t="shared" si="12"/>
        <v>0</v>
      </c>
      <c r="P56" s="26">
        <f t="shared" si="13"/>
        <v>0</v>
      </c>
      <c r="Q56" s="26">
        <f t="shared" si="14"/>
        <v>0</v>
      </c>
      <c r="R56" s="26">
        <f t="shared" si="15"/>
        <v>0</v>
      </c>
      <c r="S56" s="26">
        <f t="shared" si="16"/>
        <v>0</v>
      </c>
      <c r="T56" s="26">
        <f t="shared" si="17"/>
        <v>0</v>
      </c>
      <c r="U56" s="26">
        <f t="shared" si="18"/>
        <v>13.967566650647196</v>
      </c>
      <c r="V56" s="26">
        <f t="shared" si="19"/>
        <v>0</v>
      </c>
      <c r="W56" s="26">
        <f t="shared" si="20"/>
        <v>0</v>
      </c>
      <c r="X56" s="25">
        <f t="shared" si="21"/>
        <v>0</v>
      </c>
      <c r="Y56" s="26" t="str">
        <f t="shared" si="22"/>
        <v>Liquidated earlier</v>
      </c>
      <c r="Z56" s="26">
        <f t="shared" si="1"/>
        <v>13.967566650647196</v>
      </c>
      <c r="AA56" s="26">
        <f t="shared" si="23"/>
        <v>290.91599999999988</v>
      </c>
      <c r="AB56" s="26">
        <f t="shared" si="24"/>
        <v>96.217416519608378</v>
      </c>
      <c r="AC56" s="26">
        <f t="shared" si="2"/>
        <v>204.69858348039151</v>
      </c>
      <c r="AD56" s="26">
        <f t="shared" si="25"/>
        <v>110</v>
      </c>
      <c r="AE56" s="31">
        <f t="shared" si="26"/>
        <v>-0.8730221213577527</v>
      </c>
      <c r="AF56" s="25">
        <f t="shared" si="27"/>
        <v>0</v>
      </c>
      <c r="AG56" s="26">
        <f t="shared" si="28"/>
        <v>0</v>
      </c>
      <c r="AH56" s="26">
        <f t="shared" si="29"/>
        <v>0</v>
      </c>
      <c r="AI56" s="25">
        <f t="shared" si="30"/>
        <v>0</v>
      </c>
    </row>
    <row r="57" spans="1:35" x14ac:dyDescent="0.35">
      <c r="A57" s="25">
        <v>30</v>
      </c>
      <c r="B57" s="26" t="str">
        <f t="shared" si="0"/>
        <v>Quarter 30</v>
      </c>
      <c r="C57" s="32">
        <v>162.86000000000001</v>
      </c>
      <c r="D57" s="33">
        <v>0.3</v>
      </c>
      <c r="E57" s="33">
        <v>0.08</v>
      </c>
      <c r="F57" s="29">
        <f t="shared" si="3"/>
        <v>7.6723177824526978E-3</v>
      </c>
      <c r="G57" s="25">
        <f t="shared" si="4"/>
        <v>0</v>
      </c>
      <c r="H57" s="26">
        <f t="shared" si="5"/>
        <v>0</v>
      </c>
      <c r="I57" s="26">
        <f t="shared" si="6"/>
        <v>0</v>
      </c>
      <c r="J57" s="26">
        <f t="shared" si="7"/>
        <v>0</v>
      </c>
      <c r="K57" s="26">
        <f t="shared" si="8"/>
        <v>0</v>
      </c>
      <c r="L57" s="26">
        <f t="shared" si="9"/>
        <v>0</v>
      </c>
      <c r="M57" s="26">
        <f t="shared" si="10"/>
        <v>0</v>
      </c>
      <c r="N57" s="26">
        <f t="shared" si="11"/>
        <v>0</v>
      </c>
      <c r="O57" s="26">
        <f t="shared" si="12"/>
        <v>0</v>
      </c>
      <c r="P57" s="26">
        <f t="shared" si="13"/>
        <v>0</v>
      </c>
      <c r="Q57" s="26">
        <f t="shared" si="14"/>
        <v>0</v>
      </c>
      <c r="R57" s="26">
        <f t="shared" si="15"/>
        <v>0</v>
      </c>
      <c r="S57" s="26">
        <f t="shared" si="16"/>
        <v>0</v>
      </c>
      <c r="T57" s="26">
        <f t="shared" si="17"/>
        <v>0</v>
      </c>
      <c r="U57" s="26">
        <f t="shared" si="18"/>
        <v>13.967566650647196</v>
      </c>
      <c r="V57" s="26">
        <f t="shared" si="19"/>
        <v>0</v>
      </c>
      <c r="W57" s="26">
        <f t="shared" si="20"/>
        <v>0</v>
      </c>
      <c r="X57" s="25">
        <f t="shared" si="21"/>
        <v>0</v>
      </c>
      <c r="Y57" s="26" t="str">
        <f t="shared" si="22"/>
        <v>Liquidated earlier</v>
      </c>
      <c r="Z57" s="26">
        <f t="shared" si="1"/>
        <v>13.967566650647196</v>
      </c>
      <c r="AA57" s="26">
        <f t="shared" si="23"/>
        <v>293.14799999999991</v>
      </c>
      <c r="AB57" s="26">
        <f t="shared" si="24"/>
        <v>95.959894850000538</v>
      </c>
      <c r="AC57" s="26">
        <f t="shared" si="2"/>
        <v>207.18810514999939</v>
      </c>
      <c r="AD57" s="26">
        <f t="shared" si="25"/>
        <v>110</v>
      </c>
      <c r="AE57" s="31">
        <f t="shared" si="26"/>
        <v>-0.8730221213577527</v>
      </c>
      <c r="AF57" s="25">
        <f t="shared" si="27"/>
        <v>0</v>
      </c>
      <c r="AG57" s="26">
        <f t="shared" si="28"/>
        <v>0</v>
      </c>
      <c r="AH57" s="26">
        <f t="shared" si="29"/>
        <v>0</v>
      </c>
      <c r="AI57" s="25">
        <f t="shared" si="30"/>
        <v>0</v>
      </c>
    </row>
    <row r="58" spans="1:35" x14ac:dyDescent="0.35">
      <c r="A58" s="25">
        <v>31</v>
      </c>
      <c r="B58" s="26" t="str">
        <f t="shared" si="0"/>
        <v>Quarter 31</v>
      </c>
      <c r="C58" s="32">
        <v>166.89</v>
      </c>
      <c r="D58" s="33">
        <v>0.3</v>
      </c>
      <c r="E58" s="33">
        <v>0.08</v>
      </c>
      <c r="F58" s="29">
        <f t="shared" si="3"/>
        <v>2.4745179909124282E-2</v>
      </c>
      <c r="G58" s="25">
        <f t="shared" si="4"/>
        <v>0</v>
      </c>
      <c r="H58" s="26">
        <f t="shared" si="5"/>
        <v>0</v>
      </c>
      <c r="I58" s="26">
        <f t="shared" si="6"/>
        <v>0</v>
      </c>
      <c r="J58" s="26">
        <f t="shared" si="7"/>
        <v>0</v>
      </c>
      <c r="K58" s="26">
        <f t="shared" si="8"/>
        <v>0</v>
      </c>
      <c r="L58" s="26">
        <f t="shared" si="9"/>
        <v>0</v>
      </c>
      <c r="M58" s="26">
        <f t="shared" si="10"/>
        <v>0</v>
      </c>
      <c r="N58" s="26">
        <f t="shared" si="11"/>
        <v>0</v>
      </c>
      <c r="O58" s="26">
        <f t="shared" si="12"/>
        <v>0</v>
      </c>
      <c r="P58" s="26">
        <f t="shared" si="13"/>
        <v>0</v>
      </c>
      <c r="Q58" s="26">
        <f t="shared" si="14"/>
        <v>0</v>
      </c>
      <c r="R58" s="26">
        <f t="shared" si="15"/>
        <v>0</v>
      </c>
      <c r="S58" s="26">
        <f t="shared" si="16"/>
        <v>0</v>
      </c>
      <c r="T58" s="26">
        <f t="shared" si="17"/>
        <v>0</v>
      </c>
      <c r="U58" s="26">
        <f t="shared" si="18"/>
        <v>13.967566650647196</v>
      </c>
      <c r="V58" s="26">
        <f t="shared" si="19"/>
        <v>0</v>
      </c>
      <c r="W58" s="26">
        <f t="shared" si="20"/>
        <v>0</v>
      </c>
      <c r="X58" s="25">
        <f t="shared" si="21"/>
        <v>0</v>
      </c>
      <c r="Y58" s="26" t="str">
        <f t="shared" si="22"/>
        <v>Liquidated earlier</v>
      </c>
      <c r="Z58" s="26">
        <f t="shared" si="1"/>
        <v>13.967566650647196</v>
      </c>
      <c r="AA58" s="26">
        <f t="shared" si="23"/>
        <v>300.40199999999987</v>
      </c>
      <c r="AB58" s="26">
        <f t="shared" si="24"/>
        <v>95.680482747000553</v>
      </c>
      <c r="AC58" s="26">
        <f t="shared" si="2"/>
        <v>214.72151725299932</v>
      </c>
      <c r="AD58" s="26">
        <f t="shared" si="25"/>
        <v>110</v>
      </c>
      <c r="AE58" s="31">
        <f t="shared" si="26"/>
        <v>-0.8730221213577527</v>
      </c>
      <c r="AF58" s="25">
        <f t="shared" si="27"/>
        <v>0</v>
      </c>
      <c r="AG58" s="26">
        <f t="shared" si="28"/>
        <v>0</v>
      </c>
      <c r="AH58" s="26">
        <f t="shared" si="29"/>
        <v>0</v>
      </c>
      <c r="AI58" s="25">
        <f t="shared" si="30"/>
        <v>0</v>
      </c>
    </row>
    <row r="59" spans="1:35" x14ac:dyDescent="0.35">
      <c r="A59" s="25">
        <v>32</v>
      </c>
      <c r="B59" s="26" t="str">
        <f t="shared" si="0"/>
        <v>Quarter 32</v>
      </c>
      <c r="C59" s="32">
        <v>165</v>
      </c>
      <c r="D59" s="33">
        <v>0.3</v>
      </c>
      <c r="E59" s="33">
        <v>0.08</v>
      </c>
      <c r="F59" s="29">
        <f t="shared" si="3"/>
        <v>-1.1324824734855188E-2</v>
      </c>
      <c r="G59" s="25">
        <f t="shared" si="4"/>
        <v>0</v>
      </c>
      <c r="H59" s="26">
        <f t="shared" si="5"/>
        <v>0</v>
      </c>
      <c r="I59" s="26">
        <f t="shared" si="6"/>
        <v>0</v>
      </c>
      <c r="J59" s="26">
        <f t="shared" si="7"/>
        <v>0</v>
      </c>
      <c r="K59" s="26">
        <f t="shared" si="8"/>
        <v>0</v>
      </c>
      <c r="L59" s="26">
        <f t="shared" si="9"/>
        <v>0</v>
      </c>
      <c r="M59" s="26">
        <f t="shared" si="10"/>
        <v>0</v>
      </c>
      <c r="N59" s="26">
        <f t="shared" si="11"/>
        <v>0</v>
      </c>
      <c r="O59" s="26">
        <f t="shared" si="12"/>
        <v>0</v>
      </c>
      <c r="P59" s="26">
        <f t="shared" si="13"/>
        <v>0</v>
      </c>
      <c r="Q59" s="26">
        <f t="shared" si="14"/>
        <v>0</v>
      </c>
      <c r="R59" s="26">
        <f t="shared" si="15"/>
        <v>0</v>
      </c>
      <c r="S59" s="26">
        <f t="shared" si="16"/>
        <v>0</v>
      </c>
      <c r="T59" s="26">
        <f t="shared" si="17"/>
        <v>0</v>
      </c>
      <c r="U59" s="26">
        <f t="shared" si="18"/>
        <v>13.967566650647196</v>
      </c>
      <c r="V59" s="26">
        <f t="shared" si="19"/>
        <v>0</v>
      </c>
      <c r="W59" s="26">
        <f t="shared" si="20"/>
        <v>0</v>
      </c>
      <c r="X59" s="25">
        <f t="shared" si="21"/>
        <v>0</v>
      </c>
      <c r="Y59" s="26" t="str">
        <f t="shared" si="22"/>
        <v>Liquidated earlier</v>
      </c>
      <c r="Z59" s="26">
        <f t="shared" si="1"/>
        <v>13.967566650647196</v>
      </c>
      <c r="AA59" s="26">
        <f t="shared" si="23"/>
        <v>296.99999999999989</v>
      </c>
      <c r="AB59" s="26">
        <f t="shared" si="24"/>
        <v>95.341077401940566</v>
      </c>
      <c r="AC59" s="26">
        <f t="shared" si="2"/>
        <v>211.65892259805932</v>
      </c>
      <c r="AD59" s="26">
        <f t="shared" si="25"/>
        <v>110</v>
      </c>
      <c r="AE59" s="31">
        <f t="shared" si="26"/>
        <v>-0.8730221213577527</v>
      </c>
      <c r="AF59" s="25">
        <f t="shared" si="27"/>
        <v>0</v>
      </c>
      <c r="AG59" s="26">
        <f t="shared" si="28"/>
        <v>0</v>
      </c>
      <c r="AH59" s="26">
        <f t="shared" si="29"/>
        <v>0</v>
      </c>
      <c r="AI59" s="25">
        <f t="shared" si="30"/>
        <v>0</v>
      </c>
    </row>
  </sheetData>
  <mergeCells count="38">
    <mergeCell ref="D7:F7"/>
    <mergeCell ref="D16:F16"/>
    <mergeCell ref="A23:C23"/>
    <mergeCell ref="A8:C8"/>
    <mergeCell ref="A14:C14"/>
    <mergeCell ref="A22:C22"/>
    <mergeCell ref="D12:F12"/>
    <mergeCell ref="A17:C17"/>
    <mergeCell ref="D18:F18"/>
    <mergeCell ref="D9:F9"/>
    <mergeCell ref="D8:F8"/>
    <mergeCell ref="D11:F11"/>
    <mergeCell ref="D13:F13"/>
    <mergeCell ref="A18:C18"/>
    <mergeCell ref="D17:F17"/>
    <mergeCell ref="A21:C21"/>
    <mergeCell ref="A20:C20"/>
    <mergeCell ref="A10:C10"/>
    <mergeCell ref="A13:C13"/>
    <mergeCell ref="D14:F14"/>
    <mergeCell ref="A19:C19"/>
    <mergeCell ref="A12:C12"/>
    <mergeCell ref="A3:Q3"/>
    <mergeCell ref="D23:F23"/>
    <mergeCell ref="A9:C9"/>
    <mergeCell ref="A15:C15"/>
    <mergeCell ref="D20:F20"/>
    <mergeCell ref="D10:F10"/>
    <mergeCell ref="D19:F19"/>
    <mergeCell ref="A11:C11"/>
    <mergeCell ref="A6:C6"/>
    <mergeCell ref="D22:F22"/>
    <mergeCell ref="D21:F21"/>
    <mergeCell ref="A7:C7"/>
    <mergeCell ref="D6:F6"/>
    <mergeCell ref="A16:C16"/>
    <mergeCell ref="A4:C4"/>
    <mergeCell ref="D15:F15"/>
  </mergeCells>
  <conditionalFormatting sqref="A27:AI59">
    <cfRule type="expression" dxfId="19" priority="3">
      <formula>LEFT($Y27,7)="DEFAULT"</formula>
    </cfRule>
    <cfRule type="expression" dxfId="18" priority="4">
      <formula>LEFT($Y27,6)="Shares"</formula>
    </cfRule>
    <cfRule type="expression" dxfId="17" priority="5">
      <formula>LEFT($Y27,6)="Margin"</formula>
    </cfRule>
    <cfRule type="expression" dxfId="16" priority="6">
      <formula>LEFT($Y27,10)="Liquidated"</formula>
    </cfRule>
  </conditionalFormatting>
  <conditionalFormatting sqref="D14">
    <cfRule type="expression" dxfId="15" priority="1">
      <formula>LEFT($D$14,4)="RUIN"</formula>
    </cfRule>
    <cfRule type="expression" dxfId="14" priority="2">
      <formula>LEFT($D$14,4)="SURV"</formula>
    </cfRule>
  </conditionalFormatting>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59"/>
  <sheetViews>
    <sheetView showGridLines="0" zoomScale="50" zoomScaleNormal="50" workbookViewId="0">
      <pane xSplit="2" ySplit="26" topLeftCell="C32" activePane="bottomRight" state="frozen"/>
      <selection pane="topRight"/>
      <selection pane="bottomLeft"/>
      <selection pane="bottomRight" activeCell="D44" sqref="D44"/>
    </sheetView>
  </sheetViews>
  <sheetFormatPr defaultRowHeight="14.5" x14ac:dyDescent="0.35"/>
  <cols>
    <col min="1" max="1" width="5" customWidth="1"/>
    <col min="2" max="3" width="11" customWidth="1"/>
    <col min="4" max="4" width="12" customWidth="1"/>
    <col min="5" max="7" width="11" customWidth="1"/>
    <col min="8" max="9" width="13" customWidth="1"/>
    <col min="10" max="12" width="11" customWidth="1"/>
    <col min="13" max="13" width="13" customWidth="1"/>
    <col min="14" max="16" width="12" customWidth="1"/>
    <col min="17" max="17" width="11" customWidth="1"/>
    <col min="18" max="23" width="12" customWidth="1"/>
    <col min="24" max="24" width="11" customWidth="1"/>
    <col min="25" max="25" width="30" customWidth="1"/>
    <col min="26" max="26" width="14" customWidth="1"/>
    <col min="27" max="27" width="13" customWidth="1"/>
    <col min="28" max="28" width="12" customWidth="1"/>
    <col min="29" max="29" width="15" customWidth="1"/>
    <col min="30" max="30" width="13" customWidth="1"/>
    <col min="31" max="31" width="11" customWidth="1"/>
    <col min="32" max="32" width="9" customWidth="1"/>
    <col min="33" max="33" width="16" customWidth="1"/>
    <col min="34" max="34" width="17" customWidth="1"/>
    <col min="35" max="35" width="11" customWidth="1"/>
  </cols>
  <sheetData>
    <row r="1" spans="1:17" ht="19" x14ac:dyDescent="0.45">
      <c r="A1" s="1" t="s">
        <v>146</v>
      </c>
    </row>
    <row r="2" spans="1:17" x14ac:dyDescent="0.35">
      <c r="A2" s="2" t="s">
        <v>87</v>
      </c>
    </row>
    <row r="3" spans="1:17" ht="48" customHeight="1" x14ac:dyDescent="0.35">
      <c r="A3" s="38" t="s">
        <v>21</v>
      </c>
      <c r="B3" s="39"/>
      <c r="C3" s="39"/>
      <c r="D3" s="39"/>
      <c r="E3" s="39"/>
      <c r="F3" s="39"/>
      <c r="G3" s="39"/>
      <c r="H3" s="39"/>
      <c r="I3" s="39"/>
      <c r="J3" s="39"/>
      <c r="K3" s="39"/>
      <c r="L3" s="39"/>
      <c r="M3" s="39"/>
      <c r="N3" s="39"/>
      <c r="O3" s="39"/>
      <c r="P3" s="39"/>
      <c r="Q3" s="39"/>
    </row>
    <row r="4" spans="1:17" ht="42" customHeight="1" x14ac:dyDescent="0.35">
      <c r="A4" s="45" t="s">
        <v>88</v>
      </c>
      <c r="B4" s="39"/>
      <c r="C4" s="39"/>
      <c r="D4" s="22">
        <v>0</v>
      </c>
    </row>
    <row r="5" spans="1:17" x14ac:dyDescent="0.35">
      <c r="A5" s="3" t="s">
        <v>89</v>
      </c>
      <c r="B5" s="23"/>
      <c r="C5" s="23"/>
      <c r="D5" s="23"/>
      <c r="E5" s="23"/>
      <c r="F5" s="23"/>
    </row>
    <row r="6" spans="1:17" x14ac:dyDescent="0.35">
      <c r="A6" s="42" t="s">
        <v>90</v>
      </c>
      <c r="B6" s="41"/>
      <c r="C6" s="41"/>
      <c r="D6" s="40">
        <f>Starting_Equity+Liquidity_Reserve_0</f>
        <v>110</v>
      </c>
      <c r="E6" s="41"/>
      <c r="F6" s="41"/>
    </row>
    <row r="7" spans="1:17" x14ac:dyDescent="0.35">
      <c r="A7" s="42" t="s">
        <v>91</v>
      </c>
      <c r="B7" s="41"/>
      <c r="C7" s="41"/>
      <c r="D7" s="40">
        <f>Z59</f>
        <v>26.306902610070704</v>
      </c>
      <c r="E7" s="41"/>
      <c r="F7" s="41"/>
    </row>
    <row r="8" spans="1:17" x14ac:dyDescent="0.35">
      <c r="A8" s="42" t="s">
        <v>92</v>
      </c>
      <c r="B8" s="41"/>
      <c r="C8" s="41"/>
      <c r="D8" s="46">
        <f>D7/D6-1</f>
        <v>-0.76084633990844819</v>
      </c>
      <c r="E8" s="41"/>
      <c r="F8" s="41"/>
    </row>
    <row r="9" spans="1:17" x14ac:dyDescent="0.35">
      <c r="A9" s="42" t="s">
        <v>93</v>
      </c>
      <c r="B9" s="41"/>
      <c r="C9" s="41"/>
      <c r="D9" s="46">
        <f>MIN(AE27:AE59)</f>
        <v>-0.79528809904773934</v>
      </c>
      <c r="E9" s="41"/>
      <c r="F9" s="41"/>
    </row>
    <row r="10" spans="1:17" x14ac:dyDescent="0.35">
      <c r="A10" s="42" t="s">
        <v>94</v>
      </c>
      <c r="B10" s="41"/>
      <c r="C10" s="41"/>
      <c r="D10" s="43">
        <f>COUNTIF(Q28:Q59,"&gt;0")</f>
        <v>4</v>
      </c>
      <c r="E10" s="41"/>
      <c r="F10" s="41"/>
    </row>
    <row r="11" spans="1:17" x14ac:dyDescent="0.35">
      <c r="A11" s="42" t="s">
        <v>95</v>
      </c>
      <c r="B11" s="41"/>
      <c r="C11" s="41"/>
      <c r="D11" s="40">
        <f>SUM(R28:R59)</f>
        <v>10</v>
      </c>
      <c r="E11" s="41"/>
      <c r="F11" s="41"/>
    </row>
    <row r="12" spans="1:17" x14ac:dyDescent="0.35">
      <c r="A12" s="42" t="s">
        <v>96</v>
      </c>
      <c r="B12" s="41"/>
      <c r="C12" s="41"/>
      <c r="D12" s="40">
        <f>MIN(W27:W59)</f>
        <v>0</v>
      </c>
      <c r="E12" s="41"/>
      <c r="F12" s="41"/>
    </row>
    <row r="13" spans="1:17" x14ac:dyDescent="0.35">
      <c r="A13" s="42" t="s">
        <v>97</v>
      </c>
      <c r="B13" s="41"/>
      <c r="C13" s="41"/>
      <c r="D13" s="43">
        <f>IFERROR(INDEX(A27:A59,MATCH(1,AF27:AF59,0)),"None")</f>
        <v>18</v>
      </c>
      <c r="E13" s="41"/>
      <c r="F13" s="41"/>
    </row>
    <row r="14" spans="1:17" x14ac:dyDescent="0.35">
      <c r="A14" s="42" t="s">
        <v>98</v>
      </c>
      <c r="B14" s="41"/>
      <c r="C14" s="41"/>
      <c r="D14" s="44" t="str">
        <f>IF(ISNUMBER(D13),"RUIN: forced out, "&amp;LOWER(Period_Unit)&amp;" "&amp;D13,IF(D21&gt;0,"SURVIVED: "&amp;D21&amp;" partial sale"&amp;IF(D21&gt;1,"s",""),"SURVIVED to convergence"))</f>
        <v>RUIN: forced out, quarter 18</v>
      </c>
      <c r="E14" s="41"/>
      <c r="F14" s="41"/>
    </row>
    <row r="15" spans="1:17" x14ac:dyDescent="0.35">
      <c r="A15" s="42" t="s">
        <v>99</v>
      </c>
      <c r="B15" s="41"/>
      <c r="C15" s="41"/>
      <c r="D15" s="46">
        <f>MAX(D27:D59)</f>
        <v>0.6</v>
      </c>
      <c r="E15" s="41"/>
      <c r="F15" s="41"/>
    </row>
    <row r="16" spans="1:17" x14ac:dyDescent="0.35">
      <c r="A16" s="42" t="s">
        <v>100</v>
      </c>
      <c r="B16" s="41"/>
      <c r="C16" s="41"/>
      <c r="D16" s="46">
        <f>MAX(E27:E59)</f>
        <v>0.13</v>
      </c>
      <c r="E16" s="41"/>
      <c r="F16" s="41"/>
    </row>
    <row r="17" spans="1:35" x14ac:dyDescent="0.35">
      <c r="A17" s="42" t="s">
        <v>101</v>
      </c>
      <c r="B17" s="41"/>
      <c r="C17" s="41"/>
      <c r="D17" s="40">
        <f>AC59</f>
        <v>186.23056570527012</v>
      </c>
      <c r="E17" s="41"/>
      <c r="F17" s="41"/>
    </row>
    <row r="18" spans="1:35" x14ac:dyDescent="0.35">
      <c r="A18" s="42" t="s">
        <v>102</v>
      </c>
      <c r="B18" s="41"/>
      <c r="C18" s="41"/>
      <c r="D18" s="46">
        <f>D17/D6-1</f>
        <v>0.69300514277518288</v>
      </c>
      <c r="E18" s="41"/>
      <c r="F18" s="41"/>
    </row>
    <row r="19" spans="1:35" x14ac:dyDescent="0.35">
      <c r="A19" s="42" t="s">
        <v>103</v>
      </c>
      <c r="B19" s="41"/>
      <c r="C19" s="41"/>
      <c r="D19" s="44" t="str">
        <f>IF(D17&gt;D6,IF(ISNUMBER(D13),"Yes - but only after forced exit","Yes"),"No")</f>
        <v>Yes - but only after forced exit</v>
      </c>
      <c r="E19" s="41"/>
      <c r="F19" s="41"/>
    </row>
    <row r="20" spans="1:35" x14ac:dyDescent="0.35">
      <c r="A20" s="42" t="s">
        <v>104</v>
      </c>
      <c r="B20" s="41"/>
      <c r="C20" s="41"/>
      <c r="D20" s="40">
        <f>D17-D7</f>
        <v>159.92366309519943</v>
      </c>
      <c r="E20" s="41"/>
      <c r="F20" s="41"/>
    </row>
    <row r="21" spans="1:35" x14ac:dyDescent="0.35">
      <c r="A21" s="42" t="s">
        <v>105</v>
      </c>
      <c r="B21" s="41"/>
      <c r="C21" s="41"/>
      <c r="D21" s="43">
        <f>SUM(AI28:AI59)</f>
        <v>0</v>
      </c>
      <c r="E21" s="41"/>
      <c r="F21" s="41"/>
    </row>
    <row r="22" spans="1:35" x14ac:dyDescent="0.35">
      <c r="A22" s="42" t="s">
        <v>106</v>
      </c>
      <c r="B22" s="41"/>
      <c r="C22" s="41"/>
      <c r="D22" s="40">
        <f>SUM(AG28:AG59)</f>
        <v>127.42200000000004</v>
      </c>
      <c r="E22" s="41"/>
      <c r="F22" s="41"/>
    </row>
    <row r="23" spans="1:35" x14ac:dyDescent="0.35">
      <c r="A23" s="42" t="s">
        <v>107</v>
      </c>
      <c r="B23" s="41"/>
      <c r="C23" s="41"/>
      <c r="D23" s="40">
        <f>SUM(T28:T59)</f>
        <v>19.113300000000006</v>
      </c>
      <c r="E23" s="41"/>
      <c r="F23" s="41"/>
    </row>
    <row r="25" spans="1:35" x14ac:dyDescent="0.35">
      <c r="A25" s="24" t="s">
        <v>108</v>
      </c>
    </row>
    <row r="26" spans="1:35" ht="66" customHeight="1" x14ac:dyDescent="0.35">
      <c r="A26" s="6" t="s">
        <v>109</v>
      </c>
      <c r="B26" s="6" t="s">
        <v>110</v>
      </c>
      <c r="C26" s="6" t="s">
        <v>111</v>
      </c>
      <c r="D26" s="6" t="s">
        <v>112</v>
      </c>
      <c r="E26" s="6" t="s">
        <v>113</v>
      </c>
      <c r="F26" s="6" t="s">
        <v>114</v>
      </c>
      <c r="G26" s="6" t="s">
        <v>115</v>
      </c>
      <c r="H26" s="6" t="s">
        <v>116</v>
      </c>
      <c r="I26" s="6" t="s">
        <v>117</v>
      </c>
      <c r="J26" s="6" t="s">
        <v>118</v>
      </c>
      <c r="K26" s="6" t="s">
        <v>119</v>
      </c>
      <c r="L26" s="6" t="s">
        <v>120</v>
      </c>
      <c r="M26" s="6" t="s">
        <v>121</v>
      </c>
      <c r="N26" s="6" t="s">
        <v>122</v>
      </c>
      <c r="O26" s="6" t="s">
        <v>123</v>
      </c>
      <c r="P26" s="6" t="s">
        <v>124</v>
      </c>
      <c r="Q26" s="6" t="s">
        <v>125</v>
      </c>
      <c r="R26" s="6" t="s">
        <v>126</v>
      </c>
      <c r="S26" s="6" t="s">
        <v>127</v>
      </c>
      <c r="T26" s="6" t="s">
        <v>128</v>
      </c>
      <c r="U26" s="6" t="s">
        <v>129</v>
      </c>
      <c r="V26" s="6" t="s">
        <v>130</v>
      </c>
      <c r="W26" s="6" t="s">
        <v>131</v>
      </c>
      <c r="X26" s="6" t="s">
        <v>132</v>
      </c>
      <c r="Y26" s="6" t="s">
        <v>133</v>
      </c>
      <c r="Z26" s="6" t="s">
        <v>134</v>
      </c>
      <c r="AA26" s="6" t="s">
        <v>135</v>
      </c>
      <c r="AB26" s="6" t="s">
        <v>136</v>
      </c>
      <c r="AC26" s="6" t="s">
        <v>137</v>
      </c>
      <c r="AD26" s="6" t="s">
        <v>138</v>
      </c>
      <c r="AE26" s="6" t="s">
        <v>139</v>
      </c>
      <c r="AF26" s="6" t="s">
        <v>140</v>
      </c>
      <c r="AG26" s="6" t="s">
        <v>141</v>
      </c>
      <c r="AH26" s="6" t="s">
        <v>142</v>
      </c>
      <c r="AI26" s="6" t="s">
        <v>143</v>
      </c>
    </row>
    <row r="27" spans="1:35" x14ac:dyDescent="0.35">
      <c r="A27" s="25">
        <v>0</v>
      </c>
      <c r="B27" s="26" t="str">
        <f t="shared" ref="B27:B59" si="0">Period_Unit&amp;" "&amp;A27</f>
        <v>Quarter 0</v>
      </c>
      <c r="C27" s="27">
        <f>Entry_Driver</f>
        <v>100</v>
      </c>
      <c r="D27" s="28">
        <f>Initial_Margin_Rate</f>
        <v>0.3</v>
      </c>
      <c r="E27" s="28">
        <f>Entry_Financing_Rate</f>
        <v>0.08</v>
      </c>
      <c r="F27" s="29"/>
      <c r="G27" s="25">
        <v>1</v>
      </c>
      <c r="H27" s="26"/>
      <c r="I27" s="26"/>
      <c r="J27" s="26"/>
      <c r="K27" s="26"/>
      <c r="L27" s="26"/>
      <c r="M27" s="30">
        <f>Initial_Position_Value</f>
        <v>180</v>
      </c>
      <c r="N27" s="26"/>
      <c r="O27" s="26"/>
      <c r="P27" s="26"/>
      <c r="Q27" s="26"/>
      <c r="R27" s="26"/>
      <c r="S27" s="26"/>
      <c r="T27" s="26"/>
      <c r="U27" s="30">
        <f>Starting_Equity</f>
        <v>100</v>
      </c>
      <c r="V27" s="30">
        <f>Initial_Loan</f>
        <v>80</v>
      </c>
      <c r="W27" s="30">
        <f>Liquidity_Reserve_0</f>
        <v>10</v>
      </c>
      <c r="X27" s="25">
        <v>1</v>
      </c>
      <c r="Y27" s="26" t="s">
        <v>144</v>
      </c>
      <c r="Z27" s="26">
        <f t="shared" ref="Z27:Z59" si="1">U27+W27</f>
        <v>110</v>
      </c>
      <c r="AA27" s="30">
        <f>Initial_Position_Value</f>
        <v>180</v>
      </c>
      <c r="AB27" s="30">
        <f>Initial_Loan</f>
        <v>80</v>
      </c>
      <c r="AC27" s="26">
        <f t="shared" ref="AC27:AC59" si="2">AA27-AB27+Liquidity_Reserve_0</f>
        <v>110</v>
      </c>
      <c r="AD27" s="26">
        <f>Z27</f>
        <v>110</v>
      </c>
      <c r="AE27" s="31">
        <v>0</v>
      </c>
      <c r="AF27" s="25">
        <v>0</v>
      </c>
      <c r="AG27" s="26">
        <v>0</v>
      </c>
      <c r="AH27" s="26">
        <f>Initial_Position_Value</f>
        <v>180</v>
      </c>
      <c r="AI27" s="25">
        <v>0</v>
      </c>
    </row>
    <row r="28" spans="1:35" x14ac:dyDescent="0.35">
      <c r="A28" s="25">
        <v>1</v>
      </c>
      <c r="B28" s="26" t="str">
        <f t="shared" si="0"/>
        <v>Quarter 1</v>
      </c>
      <c r="C28" s="32">
        <v>96.63</v>
      </c>
      <c r="D28" s="33">
        <v>0.33</v>
      </c>
      <c r="E28" s="33">
        <v>8.5000000000000006E-2</v>
      </c>
      <c r="F28" s="29">
        <f t="shared" ref="F28:F59" si="3">C28/C27-1</f>
        <v>-3.3700000000000063E-2</v>
      </c>
      <c r="G28" s="25">
        <f t="shared" ref="G28:G59" si="4">X27</f>
        <v>1</v>
      </c>
      <c r="H28" s="26">
        <f t="shared" ref="H28:H59" si="5">G28*AH27</f>
        <v>180</v>
      </c>
      <c r="I28" s="26">
        <f t="shared" ref="I28:I59" si="6">H28*F28</f>
        <v>-6.0660000000000114</v>
      </c>
      <c r="J28" s="26">
        <f t="shared" ref="J28:J59" si="7">H28*Dividend_Yield_pa*Period_Length_Yrs</f>
        <v>1.3499999999999999</v>
      </c>
      <c r="K28" s="26">
        <f t="shared" ref="K28:K59" si="8">G28*V27*E28*Period_Length_Yrs</f>
        <v>1.7000000000000002</v>
      </c>
      <c r="L28" s="26">
        <f t="shared" ref="L28:L59" si="9">I28+J28-K28</f>
        <v>-6.4160000000000119</v>
      </c>
      <c r="M28" s="26">
        <f t="shared" ref="M28:M59" si="10">H28*(1+F28)</f>
        <v>173.934</v>
      </c>
      <c r="N28" s="26">
        <f t="shared" ref="N28:N59" si="11">G28*(V27+K28-J28)</f>
        <v>80.350000000000009</v>
      </c>
      <c r="O28" s="26">
        <f t="shared" ref="O28:O59" si="12">M28-N28</f>
        <v>93.583999999999989</v>
      </c>
      <c r="P28" s="26">
        <f t="shared" ref="P28:P59" si="13">D28*M28</f>
        <v>57.398220000000002</v>
      </c>
      <c r="Q28" s="26">
        <f t="shared" ref="Q28:Q59" si="14">MAX(0,P28-O28)</f>
        <v>0</v>
      </c>
      <c r="R28" s="26">
        <f t="shared" ref="R28:R59" si="15">MIN(Q28,W27)</f>
        <v>0</v>
      </c>
      <c r="S28" s="26">
        <f t="shared" ref="S28:S59" si="16">Q28-R28</f>
        <v>0</v>
      </c>
      <c r="T28" s="26">
        <f t="shared" ref="T28:T59" si="17">IF(S28&gt;0,Liquidation_Slippage*AG28,0)</f>
        <v>0</v>
      </c>
      <c r="U28" s="26">
        <f t="shared" ref="U28:U59" si="18">IF(G28=0,U27,IF(S28&gt;0,MAX(0,O28+R28-T28),O28+R28))</f>
        <v>93.583999999999989</v>
      </c>
      <c r="V28" s="26">
        <f t="shared" ref="V28:V59" si="19">IF(G28=0,0,IF(S28&gt;0,IF(AG28&lt;M28,N28-R28-AG28*(1-Liquidation_Slippage),0),N28-R28))</f>
        <v>80.350000000000009</v>
      </c>
      <c r="W28" s="26">
        <f t="shared" ref="W28:W59" si="20">W27-R28</f>
        <v>10</v>
      </c>
      <c r="X28" s="25">
        <f t="shared" ref="X28:X59" si="21">IF(AND(G28=1,OR(S28=0,AG28&lt;M28)),1,0)</f>
        <v>1</v>
      </c>
      <c r="Y28" s="26" t="str">
        <f t="shared" ref="Y28:Y59" si="22">IF(G28=0,"Liquidated earlier",IF(AF28=1,"DEFAULT - forced liquidation",IF(AI28=1,"Shares sold to meet call",IF(Q28&gt;0,"Margin call met from reserve","OK"))))</f>
        <v>OK</v>
      </c>
      <c r="Z28" s="26">
        <f t="shared" si="1"/>
        <v>103.58399999999999</v>
      </c>
      <c r="AA28" s="26">
        <f t="shared" ref="AA28:AA59" si="23">AA27*(1+F28)</f>
        <v>173.934</v>
      </c>
      <c r="AB28" s="26">
        <f t="shared" ref="AB28:AB59" si="24">AB27*(1+E28*Period_Length_Yrs)-AA27*Dividend_Yield_pa*Period_Length_Yrs</f>
        <v>80.350000000000009</v>
      </c>
      <c r="AC28" s="26">
        <f t="shared" si="2"/>
        <v>103.58399999999999</v>
      </c>
      <c r="AD28" s="26">
        <f t="shared" ref="AD28:AD59" si="25">MAX(AD27,Z28)</f>
        <v>110</v>
      </c>
      <c r="AE28" s="31">
        <f t="shared" ref="AE28:AE59" si="26">Z28/AD28-1</f>
        <v>-5.8327272727272783E-2</v>
      </c>
      <c r="AF28" s="25">
        <f t="shared" ref="AF28:AF59" si="27">IF(AND(S28&gt;0,AG28&gt;=M28),1,0)</f>
        <v>0</v>
      </c>
      <c r="AG28" s="26">
        <f t="shared" ref="AG28:AG59" si="28">IF(S28&gt;0,IF(AND(Sell_To_Fund=1,D28&gt;Liquidation_Slippage),MIN(M28,S28/(D28-Liquidation_Slippage)),M28),0)</f>
        <v>0</v>
      </c>
      <c r="AH28" s="26">
        <f t="shared" ref="AH28:AH59" si="29">IF(G28=0,0,IF(S28&gt;0,IF(AG28&lt;M28,M28-AG28,0),M28))</f>
        <v>173.934</v>
      </c>
      <c r="AI28" s="25">
        <f t="shared" ref="AI28:AI59" si="30">IF(AND(S28&gt;0,AG28&lt;M28),1,0)</f>
        <v>0</v>
      </c>
    </row>
    <row r="29" spans="1:35" x14ac:dyDescent="0.35">
      <c r="A29" s="25">
        <v>2</v>
      </c>
      <c r="B29" s="26" t="str">
        <f t="shared" si="0"/>
        <v>Quarter 2</v>
      </c>
      <c r="C29" s="32">
        <v>91.52</v>
      </c>
      <c r="D29" s="33">
        <v>0.36</v>
      </c>
      <c r="E29" s="33">
        <v>0.09</v>
      </c>
      <c r="F29" s="29">
        <f t="shared" si="3"/>
        <v>-5.288212770361167E-2</v>
      </c>
      <c r="G29" s="25">
        <f t="shared" si="4"/>
        <v>1</v>
      </c>
      <c r="H29" s="26">
        <f t="shared" si="5"/>
        <v>173.934</v>
      </c>
      <c r="I29" s="26">
        <f t="shared" si="6"/>
        <v>-9.1979999999999915</v>
      </c>
      <c r="J29" s="26">
        <f t="shared" si="7"/>
        <v>1.304505</v>
      </c>
      <c r="K29" s="26">
        <f t="shared" si="8"/>
        <v>1.8078750000000001</v>
      </c>
      <c r="L29" s="26">
        <f t="shared" si="9"/>
        <v>-9.7013699999999918</v>
      </c>
      <c r="M29" s="26">
        <f t="shared" si="10"/>
        <v>164.73600000000002</v>
      </c>
      <c r="N29" s="26">
        <f t="shared" si="11"/>
        <v>80.853369999999998</v>
      </c>
      <c r="O29" s="26">
        <f t="shared" si="12"/>
        <v>83.88263000000002</v>
      </c>
      <c r="P29" s="26">
        <f t="shared" si="13"/>
        <v>59.304960000000001</v>
      </c>
      <c r="Q29" s="26">
        <f t="shared" si="14"/>
        <v>0</v>
      </c>
      <c r="R29" s="26">
        <f t="shared" si="15"/>
        <v>0</v>
      </c>
      <c r="S29" s="26">
        <f t="shared" si="16"/>
        <v>0</v>
      </c>
      <c r="T29" s="26">
        <f t="shared" si="17"/>
        <v>0</v>
      </c>
      <c r="U29" s="26">
        <f t="shared" si="18"/>
        <v>83.88263000000002</v>
      </c>
      <c r="V29" s="26">
        <f t="shared" si="19"/>
        <v>80.853369999999998</v>
      </c>
      <c r="W29" s="26">
        <f t="shared" si="20"/>
        <v>10</v>
      </c>
      <c r="X29" s="25">
        <f t="shared" si="21"/>
        <v>1</v>
      </c>
      <c r="Y29" s="26" t="str">
        <f t="shared" si="22"/>
        <v>OK</v>
      </c>
      <c r="Z29" s="26">
        <f t="shared" si="1"/>
        <v>93.88263000000002</v>
      </c>
      <c r="AA29" s="26">
        <f t="shared" si="23"/>
        <v>164.73600000000002</v>
      </c>
      <c r="AB29" s="26">
        <f t="shared" si="24"/>
        <v>80.853369999999998</v>
      </c>
      <c r="AC29" s="26">
        <f t="shared" si="2"/>
        <v>93.88263000000002</v>
      </c>
      <c r="AD29" s="26">
        <f t="shared" si="25"/>
        <v>110</v>
      </c>
      <c r="AE29" s="31">
        <f t="shared" si="26"/>
        <v>-0.14652154545454532</v>
      </c>
      <c r="AF29" s="25">
        <f t="shared" si="27"/>
        <v>0</v>
      </c>
      <c r="AG29" s="26">
        <f t="shared" si="28"/>
        <v>0</v>
      </c>
      <c r="AH29" s="26">
        <f t="shared" si="29"/>
        <v>164.73600000000002</v>
      </c>
      <c r="AI29" s="25">
        <f t="shared" si="30"/>
        <v>0</v>
      </c>
    </row>
    <row r="30" spans="1:35" x14ac:dyDescent="0.35">
      <c r="A30" s="25">
        <v>3</v>
      </c>
      <c r="B30" s="26" t="str">
        <f t="shared" si="0"/>
        <v>Quarter 3</v>
      </c>
      <c r="C30" s="32">
        <v>87.39</v>
      </c>
      <c r="D30" s="33">
        <v>0.36880000000000002</v>
      </c>
      <c r="E30" s="33">
        <v>9.1499999999999998E-2</v>
      </c>
      <c r="F30" s="29">
        <f t="shared" si="3"/>
        <v>-4.5126748251748228E-2</v>
      </c>
      <c r="G30" s="25">
        <f t="shared" si="4"/>
        <v>1</v>
      </c>
      <c r="H30" s="26">
        <f t="shared" si="5"/>
        <v>164.73600000000002</v>
      </c>
      <c r="I30" s="26">
        <f t="shared" si="6"/>
        <v>-7.4339999999999966</v>
      </c>
      <c r="J30" s="26">
        <f t="shared" si="7"/>
        <v>1.2355200000000002</v>
      </c>
      <c r="K30" s="26">
        <f t="shared" si="8"/>
        <v>1.84952083875</v>
      </c>
      <c r="L30" s="26">
        <f t="shared" si="9"/>
        <v>-8.0480008387499957</v>
      </c>
      <c r="M30" s="26">
        <f t="shared" si="10"/>
        <v>157.30200000000002</v>
      </c>
      <c r="N30" s="26">
        <f t="shared" si="11"/>
        <v>81.46737083875</v>
      </c>
      <c r="O30" s="26">
        <f t="shared" si="12"/>
        <v>75.834629161250021</v>
      </c>
      <c r="P30" s="26">
        <f t="shared" si="13"/>
        <v>58.012977600000013</v>
      </c>
      <c r="Q30" s="26">
        <f t="shared" si="14"/>
        <v>0</v>
      </c>
      <c r="R30" s="26">
        <f t="shared" si="15"/>
        <v>0</v>
      </c>
      <c r="S30" s="26">
        <f t="shared" si="16"/>
        <v>0</v>
      </c>
      <c r="T30" s="26">
        <f t="shared" si="17"/>
        <v>0</v>
      </c>
      <c r="U30" s="26">
        <f t="shared" si="18"/>
        <v>75.834629161250021</v>
      </c>
      <c r="V30" s="26">
        <f t="shared" si="19"/>
        <v>81.46737083875</v>
      </c>
      <c r="W30" s="26">
        <f t="shared" si="20"/>
        <v>10</v>
      </c>
      <c r="X30" s="25">
        <f t="shared" si="21"/>
        <v>1</v>
      </c>
      <c r="Y30" s="26" t="str">
        <f t="shared" si="22"/>
        <v>OK</v>
      </c>
      <c r="Z30" s="26">
        <f t="shared" si="1"/>
        <v>85.834629161250021</v>
      </c>
      <c r="AA30" s="26">
        <f t="shared" si="23"/>
        <v>157.30200000000002</v>
      </c>
      <c r="AB30" s="26">
        <f t="shared" si="24"/>
        <v>81.46737083875</v>
      </c>
      <c r="AC30" s="26">
        <f t="shared" si="2"/>
        <v>85.834629161250021</v>
      </c>
      <c r="AD30" s="26">
        <f t="shared" si="25"/>
        <v>110</v>
      </c>
      <c r="AE30" s="31">
        <f t="shared" si="26"/>
        <v>-0.21968518944318161</v>
      </c>
      <c r="AF30" s="25">
        <f t="shared" si="27"/>
        <v>0</v>
      </c>
      <c r="AG30" s="26">
        <f t="shared" si="28"/>
        <v>0</v>
      </c>
      <c r="AH30" s="26">
        <f t="shared" si="29"/>
        <v>157.30200000000002</v>
      </c>
      <c r="AI30" s="25">
        <f t="shared" si="30"/>
        <v>0</v>
      </c>
    </row>
    <row r="31" spans="1:35" x14ac:dyDescent="0.35">
      <c r="A31" s="25">
        <v>4</v>
      </c>
      <c r="B31" s="26" t="str">
        <f t="shared" si="0"/>
        <v>Quarter 4</v>
      </c>
      <c r="C31" s="32">
        <v>81.5</v>
      </c>
      <c r="D31" s="33">
        <v>0.39</v>
      </c>
      <c r="E31" s="33">
        <v>9.5000000000000001E-2</v>
      </c>
      <c r="F31" s="29">
        <f t="shared" si="3"/>
        <v>-6.7399015905710069E-2</v>
      </c>
      <c r="G31" s="25">
        <f t="shared" si="4"/>
        <v>1</v>
      </c>
      <c r="H31" s="26">
        <f t="shared" si="5"/>
        <v>157.30200000000002</v>
      </c>
      <c r="I31" s="26">
        <f t="shared" si="6"/>
        <v>-10.602000000000007</v>
      </c>
      <c r="J31" s="26">
        <f t="shared" si="7"/>
        <v>1.1797650000000002</v>
      </c>
      <c r="K31" s="26">
        <f t="shared" si="8"/>
        <v>1.9348500574203125</v>
      </c>
      <c r="L31" s="26">
        <f t="shared" si="9"/>
        <v>-11.357085057420321</v>
      </c>
      <c r="M31" s="26">
        <f t="shared" si="10"/>
        <v>146.70000000000002</v>
      </c>
      <c r="N31" s="26">
        <f t="shared" si="11"/>
        <v>82.222455896170302</v>
      </c>
      <c r="O31" s="26">
        <f t="shared" si="12"/>
        <v>64.477544103829715</v>
      </c>
      <c r="P31" s="26">
        <f t="shared" si="13"/>
        <v>57.213000000000008</v>
      </c>
      <c r="Q31" s="26">
        <f t="shared" si="14"/>
        <v>0</v>
      </c>
      <c r="R31" s="26">
        <f t="shared" si="15"/>
        <v>0</v>
      </c>
      <c r="S31" s="26">
        <f t="shared" si="16"/>
        <v>0</v>
      </c>
      <c r="T31" s="26">
        <f t="shared" si="17"/>
        <v>0</v>
      </c>
      <c r="U31" s="26">
        <f t="shared" si="18"/>
        <v>64.477544103829715</v>
      </c>
      <c r="V31" s="26">
        <f t="shared" si="19"/>
        <v>82.222455896170302</v>
      </c>
      <c r="W31" s="26">
        <f t="shared" si="20"/>
        <v>10</v>
      </c>
      <c r="X31" s="25">
        <f t="shared" si="21"/>
        <v>1</v>
      </c>
      <c r="Y31" s="26" t="str">
        <f t="shared" si="22"/>
        <v>OK</v>
      </c>
      <c r="Z31" s="26">
        <f t="shared" si="1"/>
        <v>74.477544103829715</v>
      </c>
      <c r="AA31" s="26">
        <f t="shared" si="23"/>
        <v>146.70000000000002</v>
      </c>
      <c r="AB31" s="26">
        <f t="shared" si="24"/>
        <v>82.222455896170302</v>
      </c>
      <c r="AC31" s="26">
        <f t="shared" si="2"/>
        <v>74.477544103829715</v>
      </c>
      <c r="AD31" s="26">
        <f t="shared" si="25"/>
        <v>110</v>
      </c>
      <c r="AE31" s="31">
        <f t="shared" si="26"/>
        <v>-0.32293141723791163</v>
      </c>
      <c r="AF31" s="25">
        <f t="shared" si="27"/>
        <v>0</v>
      </c>
      <c r="AG31" s="26">
        <f t="shared" si="28"/>
        <v>0</v>
      </c>
      <c r="AH31" s="26">
        <f t="shared" si="29"/>
        <v>146.70000000000002</v>
      </c>
      <c r="AI31" s="25">
        <f t="shared" si="30"/>
        <v>0</v>
      </c>
    </row>
    <row r="32" spans="1:35" x14ac:dyDescent="0.35">
      <c r="A32" s="25">
        <v>5</v>
      </c>
      <c r="B32" s="26" t="str">
        <f t="shared" si="0"/>
        <v>Quarter 5</v>
      </c>
      <c r="C32" s="32">
        <v>76.150000000000006</v>
      </c>
      <c r="D32" s="33">
        <v>0.41120000000000001</v>
      </c>
      <c r="E32" s="33">
        <v>9.8500000000000004E-2</v>
      </c>
      <c r="F32" s="29">
        <f t="shared" si="3"/>
        <v>-6.5644171779141058E-2</v>
      </c>
      <c r="G32" s="25">
        <f t="shared" si="4"/>
        <v>1</v>
      </c>
      <c r="H32" s="26">
        <f t="shared" si="5"/>
        <v>146.70000000000002</v>
      </c>
      <c r="I32" s="26">
        <f t="shared" si="6"/>
        <v>-9.6299999999999937</v>
      </c>
      <c r="J32" s="26">
        <f t="shared" si="7"/>
        <v>1.1002500000000002</v>
      </c>
      <c r="K32" s="26">
        <f t="shared" si="8"/>
        <v>2.0247279764431938</v>
      </c>
      <c r="L32" s="26">
        <f t="shared" si="9"/>
        <v>-10.554477976443186</v>
      </c>
      <c r="M32" s="26">
        <f t="shared" si="10"/>
        <v>137.07000000000002</v>
      </c>
      <c r="N32" s="26">
        <f t="shared" si="11"/>
        <v>83.146933872613488</v>
      </c>
      <c r="O32" s="26">
        <f t="shared" si="12"/>
        <v>53.923066127386534</v>
      </c>
      <c r="P32" s="26">
        <f t="shared" si="13"/>
        <v>56.363184000000011</v>
      </c>
      <c r="Q32" s="26">
        <f t="shared" si="14"/>
        <v>2.4401178726134773</v>
      </c>
      <c r="R32" s="26">
        <f t="shared" si="15"/>
        <v>2.4401178726134773</v>
      </c>
      <c r="S32" s="26">
        <f t="shared" si="16"/>
        <v>0</v>
      </c>
      <c r="T32" s="26">
        <f t="shared" si="17"/>
        <v>0</v>
      </c>
      <c r="U32" s="26">
        <f t="shared" si="18"/>
        <v>56.363184000000011</v>
      </c>
      <c r="V32" s="26">
        <f t="shared" si="19"/>
        <v>80.706816000000003</v>
      </c>
      <c r="W32" s="26">
        <f t="shared" si="20"/>
        <v>7.5598821273865227</v>
      </c>
      <c r="X32" s="25">
        <f t="shared" si="21"/>
        <v>1</v>
      </c>
      <c r="Y32" s="26" t="str">
        <f t="shared" si="22"/>
        <v>Margin call met from reserve</v>
      </c>
      <c r="Z32" s="26">
        <f t="shared" si="1"/>
        <v>63.923066127386534</v>
      </c>
      <c r="AA32" s="26">
        <f t="shared" si="23"/>
        <v>137.07000000000002</v>
      </c>
      <c r="AB32" s="26">
        <f t="shared" si="24"/>
        <v>83.146933872613488</v>
      </c>
      <c r="AC32" s="26">
        <f t="shared" si="2"/>
        <v>63.923066127386534</v>
      </c>
      <c r="AD32" s="26">
        <f t="shared" si="25"/>
        <v>110</v>
      </c>
      <c r="AE32" s="31">
        <f t="shared" si="26"/>
        <v>-0.4188812170237588</v>
      </c>
      <c r="AF32" s="25">
        <f t="shared" si="27"/>
        <v>0</v>
      </c>
      <c r="AG32" s="26">
        <f t="shared" si="28"/>
        <v>0</v>
      </c>
      <c r="AH32" s="26">
        <f t="shared" si="29"/>
        <v>137.07000000000002</v>
      </c>
      <c r="AI32" s="25">
        <f t="shared" si="30"/>
        <v>0</v>
      </c>
    </row>
    <row r="33" spans="1:35" x14ac:dyDescent="0.35">
      <c r="A33" s="25">
        <v>6</v>
      </c>
      <c r="B33" s="26" t="str">
        <f t="shared" si="0"/>
        <v>Quarter 6</v>
      </c>
      <c r="C33" s="32">
        <v>74</v>
      </c>
      <c r="D33" s="33">
        <v>0.42</v>
      </c>
      <c r="E33" s="33">
        <v>0.1</v>
      </c>
      <c r="F33" s="29">
        <f t="shared" si="3"/>
        <v>-2.8233749179251588E-2</v>
      </c>
      <c r="G33" s="25">
        <f t="shared" si="4"/>
        <v>1</v>
      </c>
      <c r="H33" s="26">
        <f t="shared" si="5"/>
        <v>137.07000000000002</v>
      </c>
      <c r="I33" s="26">
        <f t="shared" si="6"/>
        <v>-3.8700000000000156</v>
      </c>
      <c r="J33" s="26">
        <f t="shared" si="7"/>
        <v>1.0280250000000002</v>
      </c>
      <c r="K33" s="26">
        <f t="shared" si="8"/>
        <v>2.0176704000000001</v>
      </c>
      <c r="L33" s="26">
        <f t="shared" si="9"/>
        <v>-4.8596454000000158</v>
      </c>
      <c r="M33" s="26">
        <f t="shared" si="10"/>
        <v>133.20000000000002</v>
      </c>
      <c r="N33" s="26">
        <f t="shared" si="11"/>
        <v>81.696461400000004</v>
      </c>
      <c r="O33" s="26">
        <f t="shared" si="12"/>
        <v>51.503538600000013</v>
      </c>
      <c r="P33" s="26">
        <f t="shared" si="13"/>
        <v>55.944000000000003</v>
      </c>
      <c r="Q33" s="26">
        <f t="shared" si="14"/>
        <v>4.4404613999999896</v>
      </c>
      <c r="R33" s="26">
        <f t="shared" si="15"/>
        <v>4.4404613999999896</v>
      </c>
      <c r="S33" s="26">
        <f t="shared" si="16"/>
        <v>0</v>
      </c>
      <c r="T33" s="26">
        <f t="shared" si="17"/>
        <v>0</v>
      </c>
      <c r="U33" s="26">
        <f t="shared" si="18"/>
        <v>55.944000000000003</v>
      </c>
      <c r="V33" s="26">
        <f t="shared" si="19"/>
        <v>77.256000000000014</v>
      </c>
      <c r="W33" s="26">
        <f t="shared" si="20"/>
        <v>3.1194207273865331</v>
      </c>
      <c r="X33" s="25">
        <f t="shared" si="21"/>
        <v>1</v>
      </c>
      <c r="Y33" s="26" t="str">
        <f t="shared" si="22"/>
        <v>Margin call met from reserve</v>
      </c>
      <c r="Z33" s="26">
        <f t="shared" si="1"/>
        <v>59.063420727386536</v>
      </c>
      <c r="AA33" s="26">
        <f t="shared" si="23"/>
        <v>133.20000000000002</v>
      </c>
      <c r="AB33" s="26">
        <f t="shared" si="24"/>
        <v>84.197582219428824</v>
      </c>
      <c r="AC33" s="26">
        <f t="shared" si="2"/>
        <v>59.002417780571193</v>
      </c>
      <c r="AD33" s="26">
        <f t="shared" si="25"/>
        <v>110</v>
      </c>
      <c r="AE33" s="31">
        <f t="shared" si="26"/>
        <v>-0.46305981156921328</v>
      </c>
      <c r="AF33" s="25">
        <f t="shared" si="27"/>
        <v>0</v>
      </c>
      <c r="AG33" s="26">
        <f t="shared" si="28"/>
        <v>0</v>
      </c>
      <c r="AH33" s="26">
        <f t="shared" si="29"/>
        <v>133.20000000000002</v>
      </c>
      <c r="AI33" s="25">
        <f t="shared" si="30"/>
        <v>0</v>
      </c>
    </row>
    <row r="34" spans="1:35" x14ac:dyDescent="0.35">
      <c r="A34" s="25">
        <v>7</v>
      </c>
      <c r="B34" s="26" t="str">
        <f t="shared" si="0"/>
        <v>Quarter 7</v>
      </c>
      <c r="C34" s="32">
        <v>75.319999999999993</v>
      </c>
      <c r="D34" s="33">
        <v>0.42</v>
      </c>
      <c r="E34" s="33">
        <v>0.1</v>
      </c>
      <c r="F34" s="29">
        <f t="shared" si="3"/>
        <v>1.7837837837837656E-2</v>
      </c>
      <c r="G34" s="25">
        <f t="shared" si="4"/>
        <v>1</v>
      </c>
      <c r="H34" s="26">
        <f t="shared" si="5"/>
        <v>133.20000000000002</v>
      </c>
      <c r="I34" s="26">
        <f t="shared" si="6"/>
        <v>2.3759999999999759</v>
      </c>
      <c r="J34" s="26">
        <f t="shared" si="7"/>
        <v>0.99900000000000011</v>
      </c>
      <c r="K34" s="26">
        <f t="shared" si="8"/>
        <v>1.9314000000000004</v>
      </c>
      <c r="L34" s="26">
        <f t="shared" si="9"/>
        <v>1.4435999999999756</v>
      </c>
      <c r="M34" s="26">
        <f t="shared" si="10"/>
        <v>135.57599999999999</v>
      </c>
      <c r="N34" s="26">
        <f t="shared" si="11"/>
        <v>78.188400000000016</v>
      </c>
      <c r="O34" s="26">
        <f t="shared" si="12"/>
        <v>57.387599999999978</v>
      </c>
      <c r="P34" s="26">
        <f t="shared" si="13"/>
        <v>56.941919999999996</v>
      </c>
      <c r="Q34" s="26">
        <f t="shared" si="14"/>
        <v>0</v>
      </c>
      <c r="R34" s="26">
        <f t="shared" si="15"/>
        <v>0</v>
      </c>
      <c r="S34" s="26">
        <f t="shared" si="16"/>
        <v>0</v>
      </c>
      <c r="T34" s="26">
        <f t="shared" si="17"/>
        <v>0</v>
      </c>
      <c r="U34" s="26">
        <f t="shared" si="18"/>
        <v>57.387599999999978</v>
      </c>
      <c r="V34" s="26">
        <f t="shared" si="19"/>
        <v>78.188400000000016</v>
      </c>
      <c r="W34" s="26">
        <f t="shared" si="20"/>
        <v>3.1194207273865331</v>
      </c>
      <c r="X34" s="25">
        <f t="shared" si="21"/>
        <v>1</v>
      </c>
      <c r="Y34" s="26" t="str">
        <f t="shared" si="22"/>
        <v>OK</v>
      </c>
      <c r="Z34" s="26">
        <f t="shared" si="1"/>
        <v>60.507020727386511</v>
      </c>
      <c r="AA34" s="26">
        <f t="shared" si="23"/>
        <v>135.57599999999999</v>
      </c>
      <c r="AB34" s="26">
        <f t="shared" si="24"/>
        <v>85.303521774914543</v>
      </c>
      <c r="AC34" s="26">
        <f t="shared" si="2"/>
        <v>60.27247822508545</v>
      </c>
      <c r="AD34" s="26">
        <f t="shared" si="25"/>
        <v>110</v>
      </c>
      <c r="AE34" s="31">
        <f t="shared" si="26"/>
        <v>-0.44993617520557716</v>
      </c>
      <c r="AF34" s="25">
        <f t="shared" si="27"/>
        <v>0</v>
      </c>
      <c r="AG34" s="26">
        <f t="shared" si="28"/>
        <v>0</v>
      </c>
      <c r="AH34" s="26">
        <f t="shared" si="29"/>
        <v>135.57599999999999</v>
      </c>
      <c r="AI34" s="25">
        <f t="shared" si="30"/>
        <v>0</v>
      </c>
    </row>
    <row r="35" spans="1:35" x14ac:dyDescent="0.35">
      <c r="A35" s="25">
        <v>8</v>
      </c>
      <c r="B35" s="26" t="str">
        <f t="shared" si="0"/>
        <v>Quarter 8</v>
      </c>
      <c r="C35" s="32">
        <v>82.44</v>
      </c>
      <c r="D35" s="33">
        <v>0.42</v>
      </c>
      <c r="E35" s="33">
        <v>0.1</v>
      </c>
      <c r="F35" s="29">
        <f t="shared" si="3"/>
        <v>9.453000531067457E-2</v>
      </c>
      <c r="G35" s="25">
        <f t="shared" si="4"/>
        <v>1</v>
      </c>
      <c r="H35" s="26">
        <f t="shared" si="5"/>
        <v>135.57599999999999</v>
      </c>
      <c r="I35" s="26">
        <f t="shared" si="6"/>
        <v>12.816000000000015</v>
      </c>
      <c r="J35" s="26">
        <f t="shared" si="7"/>
        <v>1.0168199999999998</v>
      </c>
      <c r="K35" s="26">
        <f t="shared" si="8"/>
        <v>1.9547100000000004</v>
      </c>
      <c r="L35" s="26">
        <f t="shared" si="9"/>
        <v>11.878110000000014</v>
      </c>
      <c r="M35" s="26">
        <f t="shared" si="10"/>
        <v>148.392</v>
      </c>
      <c r="N35" s="26">
        <f t="shared" si="11"/>
        <v>79.126290000000026</v>
      </c>
      <c r="O35" s="26">
        <f t="shared" si="12"/>
        <v>69.26570999999997</v>
      </c>
      <c r="P35" s="26">
        <f t="shared" si="13"/>
        <v>62.324639999999995</v>
      </c>
      <c r="Q35" s="26">
        <f t="shared" si="14"/>
        <v>0</v>
      </c>
      <c r="R35" s="26">
        <f t="shared" si="15"/>
        <v>0</v>
      </c>
      <c r="S35" s="26">
        <f t="shared" si="16"/>
        <v>0</v>
      </c>
      <c r="T35" s="26">
        <f t="shared" si="17"/>
        <v>0</v>
      </c>
      <c r="U35" s="26">
        <f t="shared" si="18"/>
        <v>69.26570999999997</v>
      </c>
      <c r="V35" s="26">
        <f t="shared" si="19"/>
        <v>79.126290000000026</v>
      </c>
      <c r="W35" s="26">
        <f t="shared" si="20"/>
        <v>3.1194207273865331</v>
      </c>
      <c r="X35" s="25">
        <f t="shared" si="21"/>
        <v>1</v>
      </c>
      <c r="Y35" s="26" t="str">
        <f t="shared" si="22"/>
        <v>OK</v>
      </c>
      <c r="Z35" s="26">
        <f t="shared" si="1"/>
        <v>72.385130727386496</v>
      </c>
      <c r="AA35" s="26">
        <f t="shared" si="23"/>
        <v>148.392</v>
      </c>
      <c r="AB35" s="26">
        <f t="shared" si="24"/>
        <v>86.4192898192874</v>
      </c>
      <c r="AC35" s="26">
        <f t="shared" si="2"/>
        <v>71.972710180712596</v>
      </c>
      <c r="AD35" s="26">
        <f t="shared" si="25"/>
        <v>110</v>
      </c>
      <c r="AE35" s="31">
        <f t="shared" si="26"/>
        <v>-0.34195335702375917</v>
      </c>
      <c r="AF35" s="25">
        <f t="shared" si="27"/>
        <v>0</v>
      </c>
      <c r="AG35" s="26">
        <f t="shared" si="28"/>
        <v>0</v>
      </c>
      <c r="AH35" s="26">
        <f t="shared" si="29"/>
        <v>148.392</v>
      </c>
      <c r="AI35" s="25">
        <f t="shared" si="30"/>
        <v>0</v>
      </c>
    </row>
    <row r="36" spans="1:35" x14ac:dyDescent="0.35">
      <c r="A36" s="25">
        <v>9</v>
      </c>
      <c r="B36" s="26" t="str">
        <f t="shared" si="0"/>
        <v>Quarter 9</v>
      </c>
      <c r="C36" s="32">
        <v>88.03</v>
      </c>
      <c r="D36" s="33">
        <v>0.42</v>
      </c>
      <c r="E36" s="33">
        <v>0.1</v>
      </c>
      <c r="F36" s="29">
        <f t="shared" si="3"/>
        <v>6.7806889859291619E-2</v>
      </c>
      <c r="G36" s="25">
        <f t="shared" si="4"/>
        <v>1</v>
      </c>
      <c r="H36" s="26">
        <f t="shared" si="5"/>
        <v>148.392</v>
      </c>
      <c r="I36" s="26">
        <f t="shared" si="6"/>
        <v>10.062000000000001</v>
      </c>
      <c r="J36" s="26">
        <f t="shared" si="7"/>
        <v>1.1129399999999998</v>
      </c>
      <c r="K36" s="26">
        <f t="shared" si="8"/>
        <v>1.9781572500000006</v>
      </c>
      <c r="L36" s="26">
        <f t="shared" si="9"/>
        <v>9.1967827500000006</v>
      </c>
      <c r="M36" s="26">
        <f t="shared" si="10"/>
        <v>158.45400000000001</v>
      </c>
      <c r="N36" s="26">
        <f t="shared" si="11"/>
        <v>79.991507250000026</v>
      </c>
      <c r="O36" s="26">
        <f t="shared" si="12"/>
        <v>78.462492749999981</v>
      </c>
      <c r="P36" s="26">
        <f t="shared" si="13"/>
        <v>66.55068</v>
      </c>
      <c r="Q36" s="26">
        <f t="shared" si="14"/>
        <v>0</v>
      </c>
      <c r="R36" s="26">
        <f t="shared" si="15"/>
        <v>0</v>
      </c>
      <c r="S36" s="26">
        <f t="shared" si="16"/>
        <v>0</v>
      </c>
      <c r="T36" s="26">
        <f t="shared" si="17"/>
        <v>0</v>
      </c>
      <c r="U36" s="26">
        <f t="shared" si="18"/>
        <v>78.462492749999981</v>
      </c>
      <c r="V36" s="26">
        <f t="shared" si="19"/>
        <v>79.991507250000026</v>
      </c>
      <c r="W36" s="26">
        <f t="shared" si="20"/>
        <v>3.1194207273865331</v>
      </c>
      <c r="X36" s="25">
        <f t="shared" si="21"/>
        <v>1</v>
      </c>
      <c r="Y36" s="26" t="str">
        <f t="shared" si="22"/>
        <v>OK</v>
      </c>
      <c r="Z36" s="26">
        <f t="shared" si="1"/>
        <v>81.581913477386507</v>
      </c>
      <c r="AA36" s="26">
        <f t="shared" si="23"/>
        <v>158.45400000000001</v>
      </c>
      <c r="AB36" s="26">
        <f t="shared" si="24"/>
        <v>87.466832064769577</v>
      </c>
      <c r="AC36" s="26">
        <f t="shared" si="2"/>
        <v>80.987167935230431</v>
      </c>
      <c r="AD36" s="26">
        <f t="shared" si="25"/>
        <v>110</v>
      </c>
      <c r="AE36" s="31">
        <f t="shared" si="26"/>
        <v>-0.25834624111466808</v>
      </c>
      <c r="AF36" s="25">
        <f t="shared" si="27"/>
        <v>0</v>
      </c>
      <c r="AG36" s="26">
        <f t="shared" si="28"/>
        <v>0</v>
      </c>
      <c r="AH36" s="26">
        <f t="shared" si="29"/>
        <v>158.45400000000001</v>
      </c>
      <c r="AI36" s="25">
        <f t="shared" si="30"/>
        <v>0</v>
      </c>
    </row>
    <row r="37" spans="1:35" x14ac:dyDescent="0.35">
      <c r="A37" s="25">
        <v>10</v>
      </c>
      <c r="B37" s="26" t="str">
        <f t="shared" si="0"/>
        <v>Quarter 10</v>
      </c>
      <c r="C37" s="32">
        <v>100.12</v>
      </c>
      <c r="D37" s="33">
        <v>0.39250000000000002</v>
      </c>
      <c r="E37" s="33">
        <v>9.6299999999999997E-2</v>
      </c>
      <c r="F37" s="29">
        <f t="shared" si="3"/>
        <v>0.13733954333749865</v>
      </c>
      <c r="G37" s="25">
        <f t="shared" si="4"/>
        <v>1</v>
      </c>
      <c r="H37" s="26">
        <f t="shared" si="5"/>
        <v>158.45400000000001</v>
      </c>
      <c r="I37" s="26">
        <f t="shared" si="6"/>
        <v>21.762000000000011</v>
      </c>
      <c r="J37" s="26">
        <f t="shared" si="7"/>
        <v>1.1884049999999999</v>
      </c>
      <c r="K37" s="26">
        <f t="shared" si="8"/>
        <v>1.9257955370437505</v>
      </c>
      <c r="L37" s="26">
        <f t="shared" si="9"/>
        <v>21.02460946295626</v>
      </c>
      <c r="M37" s="26">
        <f t="shared" si="10"/>
        <v>180.21600000000001</v>
      </c>
      <c r="N37" s="26">
        <f t="shared" si="11"/>
        <v>80.728897787043778</v>
      </c>
      <c r="O37" s="26">
        <f t="shared" si="12"/>
        <v>99.487102212956231</v>
      </c>
      <c r="P37" s="26">
        <f t="shared" si="13"/>
        <v>70.734780000000001</v>
      </c>
      <c r="Q37" s="26">
        <f t="shared" si="14"/>
        <v>0</v>
      </c>
      <c r="R37" s="26">
        <f t="shared" si="15"/>
        <v>0</v>
      </c>
      <c r="S37" s="26">
        <f t="shared" si="16"/>
        <v>0</v>
      </c>
      <c r="T37" s="26">
        <f t="shared" si="17"/>
        <v>0</v>
      </c>
      <c r="U37" s="26">
        <f t="shared" si="18"/>
        <v>99.487102212956231</v>
      </c>
      <c r="V37" s="26">
        <f t="shared" si="19"/>
        <v>80.728897787043778</v>
      </c>
      <c r="W37" s="26">
        <f t="shared" si="20"/>
        <v>3.1194207273865331</v>
      </c>
      <c r="X37" s="25">
        <f t="shared" si="21"/>
        <v>1</v>
      </c>
      <c r="Y37" s="26" t="str">
        <f t="shared" si="22"/>
        <v>OK</v>
      </c>
      <c r="Z37" s="26">
        <f t="shared" si="1"/>
        <v>102.60652294034276</v>
      </c>
      <c r="AA37" s="26">
        <f t="shared" si="23"/>
        <v>180.21600000000001</v>
      </c>
      <c r="AB37" s="26">
        <f t="shared" si="24"/>
        <v>88.384191046728901</v>
      </c>
      <c r="AC37" s="26">
        <f t="shared" si="2"/>
        <v>101.83180895327111</v>
      </c>
      <c r="AD37" s="26">
        <f t="shared" si="25"/>
        <v>110</v>
      </c>
      <c r="AE37" s="31">
        <f t="shared" si="26"/>
        <v>-6.7213427815065896E-2</v>
      </c>
      <c r="AF37" s="25">
        <f t="shared" si="27"/>
        <v>0</v>
      </c>
      <c r="AG37" s="26">
        <f t="shared" si="28"/>
        <v>0</v>
      </c>
      <c r="AH37" s="26">
        <f t="shared" si="29"/>
        <v>180.21600000000001</v>
      </c>
      <c r="AI37" s="25">
        <f t="shared" si="30"/>
        <v>0</v>
      </c>
    </row>
    <row r="38" spans="1:35" x14ac:dyDescent="0.35">
      <c r="A38" s="25">
        <v>11</v>
      </c>
      <c r="B38" s="26" t="str">
        <f t="shared" si="0"/>
        <v>Quarter 11</v>
      </c>
      <c r="C38" s="32">
        <v>108</v>
      </c>
      <c r="D38" s="33">
        <v>0.33750000000000002</v>
      </c>
      <c r="E38" s="33">
        <v>8.8800000000000004E-2</v>
      </c>
      <c r="F38" s="29">
        <f t="shared" si="3"/>
        <v>7.8705553335996825E-2</v>
      </c>
      <c r="G38" s="25">
        <f t="shared" si="4"/>
        <v>1</v>
      </c>
      <c r="H38" s="26">
        <f t="shared" si="5"/>
        <v>180.21600000000001</v>
      </c>
      <c r="I38" s="26">
        <f t="shared" si="6"/>
        <v>14.184000000000005</v>
      </c>
      <c r="J38" s="26">
        <f t="shared" si="7"/>
        <v>1.35162</v>
      </c>
      <c r="K38" s="26">
        <f t="shared" si="8"/>
        <v>1.7921815308723719</v>
      </c>
      <c r="L38" s="26">
        <f t="shared" si="9"/>
        <v>13.743438469127634</v>
      </c>
      <c r="M38" s="26">
        <f t="shared" si="10"/>
        <v>194.4</v>
      </c>
      <c r="N38" s="26">
        <f t="shared" si="11"/>
        <v>81.16945931791615</v>
      </c>
      <c r="O38" s="26">
        <f t="shared" si="12"/>
        <v>113.23054068208386</v>
      </c>
      <c r="P38" s="26">
        <f t="shared" si="13"/>
        <v>65.61</v>
      </c>
      <c r="Q38" s="26">
        <f t="shared" si="14"/>
        <v>0</v>
      </c>
      <c r="R38" s="26">
        <f t="shared" si="15"/>
        <v>0</v>
      </c>
      <c r="S38" s="26">
        <f t="shared" si="16"/>
        <v>0</v>
      </c>
      <c r="T38" s="26">
        <f t="shared" si="17"/>
        <v>0</v>
      </c>
      <c r="U38" s="26">
        <f t="shared" si="18"/>
        <v>113.23054068208386</v>
      </c>
      <c r="V38" s="26">
        <f t="shared" si="19"/>
        <v>81.16945931791615</v>
      </c>
      <c r="W38" s="26">
        <f t="shared" si="20"/>
        <v>3.1194207273865331</v>
      </c>
      <c r="X38" s="25">
        <f t="shared" si="21"/>
        <v>1</v>
      </c>
      <c r="Y38" s="26" t="str">
        <f t="shared" si="22"/>
        <v>OK</v>
      </c>
      <c r="Z38" s="26">
        <f t="shared" si="1"/>
        <v>116.34996140947038</v>
      </c>
      <c r="AA38" s="26">
        <f t="shared" si="23"/>
        <v>194.4</v>
      </c>
      <c r="AB38" s="26">
        <f t="shared" si="24"/>
        <v>88.99470008796628</v>
      </c>
      <c r="AC38" s="26">
        <f t="shared" si="2"/>
        <v>115.40529991203373</v>
      </c>
      <c r="AD38" s="26">
        <f t="shared" si="25"/>
        <v>116.34996140947038</v>
      </c>
      <c r="AE38" s="31">
        <f t="shared" si="26"/>
        <v>0</v>
      </c>
      <c r="AF38" s="25">
        <f t="shared" si="27"/>
        <v>0</v>
      </c>
      <c r="AG38" s="26">
        <f t="shared" si="28"/>
        <v>0</v>
      </c>
      <c r="AH38" s="26">
        <f t="shared" si="29"/>
        <v>194.4</v>
      </c>
      <c r="AI38" s="25">
        <f t="shared" si="30"/>
        <v>0</v>
      </c>
    </row>
    <row r="39" spans="1:35" x14ac:dyDescent="0.35">
      <c r="A39" s="25">
        <v>12</v>
      </c>
      <c r="B39" s="26" t="str">
        <f t="shared" si="0"/>
        <v>Quarter 12</v>
      </c>
      <c r="C39" s="32">
        <v>113.63</v>
      </c>
      <c r="D39" s="33">
        <v>0.31</v>
      </c>
      <c r="E39" s="33">
        <v>8.5000000000000006E-2</v>
      </c>
      <c r="F39" s="29">
        <f t="shared" si="3"/>
        <v>5.2129629629629637E-2</v>
      </c>
      <c r="G39" s="25">
        <f t="shared" si="4"/>
        <v>1</v>
      </c>
      <c r="H39" s="26">
        <f t="shared" si="5"/>
        <v>194.4</v>
      </c>
      <c r="I39" s="26">
        <f t="shared" si="6"/>
        <v>10.134000000000002</v>
      </c>
      <c r="J39" s="26">
        <f t="shared" si="7"/>
        <v>1.458</v>
      </c>
      <c r="K39" s="26">
        <f t="shared" si="8"/>
        <v>1.7248510105057182</v>
      </c>
      <c r="L39" s="26">
        <f t="shared" si="9"/>
        <v>9.8671489894942841</v>
      </c>
      <c r="M39" s="26">
        <f t="shared" si="10"/>
        <v>204.53400000000002</v>
      </c>
      <c r="N39" s="26">
        <f t="shared" si="11"/>
        <v>81.436310328421868</v>
      </c>
      <c r="O39" s="26">
        <f t="shared" si="12"/>
        <v>123.09768967157815</v>
      </c>
      <c r="P39" s="26">
        <f t="shared" si="13"/>
        <v>63.405540000000009</v>
      </c>
      <c r="Q39" s="26">
        <f t="shared" si="14"/>
        <v>0</v>
      </c>
      <c r="R39" s="26">
        <f t="shared" si="15"/>
        <v>0</v>
      </c>
      <c r="S39" s="26">
        <f t="shared" si="16"/>
        <v>0</v>
      </c>
      <c r="T39" s="26">
        <f t="shared" si="17"/>
        <v>0</v>
      </c>
      <c r="U39" s="26">
        <f t="shared" si="18"/>
        <v>123.09768967157815</v>
      </c>
      <c r="V39" s="26">
        <f t="shared" si="19"/>
        <v>81.436310328421868</v>
      </c>
      <c r="W39" s="26">
        <f t="shared" si="20"/>
        <v>3.1194207273865331</v>
      </c>
      <c r="X39" s="25">
        <f t="shared" si="21"/>
        <v>1</v>
      </c>
      <c r="Y39" s="26" t="str">
        <f t="shared" si="22"/>
        <v>OK</v>
      </c>
      <c r="Z39" s="26">
        <f t="shared" si="1"/>
        <v>126.21711039896468</v>
      </c>
      <c r="AA39" s="26">
        <f t="shared" si="23"/>
        <v>204.53400000000002</v>
      </c>
      <c r="AB39" s="26">
        <f t="shared" si="24"/>
        <v>89.427837464835562</v>
      </c>
      <c r="AC39" s="26">
        <f t="shared" si="2"/>
        <v>125.10616253516446</v>
      </c>
      <c r="AD39" s="26">
        <f t="shared" si="25"/>
        <v>126.21711039896468</v>
      </c>
      <c r="AE39" s="31">
        <f t="shared" si="26"/>
        <v>0</v>
      </c>
      <c r="AF39" s="25">
        <f t="shared" si="27"/>
        <v>0</v>
      </c>
      <c r="AG39" s="26">
        <f t="shared" si="28"/>
        <v>0</v>
      </c>
      <c r="AH39" s="26">
        <f t="shared" si="29"/>
        <v>204.53400000000002</v>
      </c>
      <c r="AI39" s="25">
        <f t="shared" si="30"/>
        <v>0</v>
      </c>
    </row>
    <row r="40" spans="1:35" x14ac:dyDescent="0.35">
      <c r="A40" s="25">
        <v>13</v>
      </c>
      <c r="B40" s="26" t="str">
        <f t="shared" si="0"/>
        <v>Quarter 13</v>
      </c>
      <c r="C40" s="32">
        <v>115</v>
      </c>
      <c r="D40" s="33">
        <v>0.30499999999999999</v>
      </c>
      <c r="E40" s="33">
        <v>8.4000000000000005E-2</v>
      </c>
      <c r="F40" s="29">
        <f t="shared" si="3"/>
        <v>1.2056675173809817E-2</v>
      </c>
      <c r="G40" s="25">
        <f t="shared" si="4"/>
        <v>1</v>
      </c>
      <c r="H40" s="26">
        <f t="shared" si="5"/>
        <v>204.53400000000002</v>
      </c>
      <c r="I40" s="26">
        <f t="shared" si="6"/>
        <v>2.4660000000000171</v>
      </c>
      <c r="J40" s="26">
        <f t="shared" si="7"/>
        <v>1.5340050000000001</v>
      </c>
      <c r="K40" s="26">
        <f t="shared" si="8"/>
        <v>1.7101625168968593</v>
      </c>
      <c r="L40" s="26">
        <f t="shared" si="9"/>
        <v>2.2898424831031585</v>
      </c>
      <c r="M40" s="26">
        <f t="shared" si="10"/>
        <v>207.00000000000003</v>
      </c>
      <c r="N40" s="26">
        <f t="shared" si="11"/>
        <v>81.612467845318733</v>
      </c>
      <c r="O40" s="26">
        <f t="shared" si="12"/>
        <v>125.3875321546813</v>
      </c>
      <c r="P40" s="26">
        <f t="shared" si="13"/>
        <v>63.135000000000005</v>
      </c>
      <c r="Q40" s="26">
        <f t="shared" si="14"/>
        <v>0</v>
      </c>
      <c r="R40" s="26">
        <f t="shared" si="15"/>
        <v>0</v>
      </c>
      <c r="S40" s="26">
        <f t="shared" si="16"/>
        <v>0</v>
      </c>
      <c r="T40" s="26">
        <f t="shared" si="17"/>
        <v>0</v>
      </c>
      <c r="U40" s="26">
        <f t="shared" si="18"/>
        <v>125.3875321546813</v>
      </c>
      <c r="V40" s="26">
        <f t="shared" si="19"/>
        <v>81.612467845318733</v>
      </c>
      <c r="W40" s="26">
        <f t="shared" si="20"/>
        <v>3.1194207273865331</v>
      </c>
      <c r="X40" s="25">
        <f t="shared" si="21"/>
        <v>1</v>
      </c>
      <c r="Y40" s="26" t="str">
        <f t="shared" si="22"/>
        <v>OK</v>
      </c>
      <c r="Z40" s="26">
        <f t="shared" si="1"/>
        <v>128.50695288206782</v>
      </c>
      <c r="AA40" s="26">
        <f t="shared" si="23"/>
        <v>207.00000000000003</v>
      </c>
      <c r="AB40" s="26">
        <f t="shared" si="24"/>
        <v>89.771817051597111</v>
      </c>
      <c r="AC40" s="26">
        <f t="shared" si="2"/>
        <v>127.22818294840292</v>
      </c>
      <c r="AD40" s="26">
        <f t="shared" si="25"/>
        <v>128.50695288206782</v>
      </c>
      <c r="AE40" s="31">
        <f t="shared" si="26"/>
        <v>0</v>
      </c>
      <c r="AF40" s="25">
        <f t="shared" si="27"/>
        <v>0</v>
      </c>
      <c r="AG40" s="26">
        <f t="shared" si="28"/>
        <v>0</v>
      </c>
      <c r="AH40" s="26">
        <f t="shared" si="29"/>
        <v>207.00000000000003</v>
      </c>
      <c r="AI40" s="25">
        <f t="shared" si="30"/>
        <v>0</v>
      </c>
    </row>
    <row r="41" spans="1:35" x14ac:dyDescent="0.35">
      <c r="A41" s="25">
        <v>14</v>
      </c>
      <c r="B41" s="26" t="str">
        <f t="shared" si="0"/>
        <v>Quarter 14</v>
      </c>
      <c r="C41" s="32">
        <v>112.21</v>
      </c>
      <c r="D41" s="33">
        <v>0.3</v>
      </c>
      <c r="E41" s="33">
        <v>8.3000000000000004E-2</v>
      </c>
      <c r="F41" s="29">
        <f t="shared" si="3"/>
        <v>-2.4260869565217447E-2</v>
      </c>
      <c r="G41" s="25">
        <f t="shared" si="4"/>
        <v>1</v>
      </c>
      <c r="H41" s="26">
        <f t="shared" si="5"/>
        <v>207.00000000000003</v>
      </c>
      <c r="I41" s="26">
        <f t="shared" si="6"/>
        <v>-5.0220000000000118</v>
      </c>
      <c r="J41" s="26">
        <f t="shared" si="7"/>
        <v>1.5525000000000002</v>
      </c>
      <c r="K41" s="26">
        <f t="shared" si="8"/>
        <v>1.6934587077903638</v>
      </c>
      <c r="L41" s="26">
        <f t="shared" si="9"/>
        <v>-5.1629587077903754</v>
      </c>
      <c r="M41" s="26">
        <f t="shared" si="10"/>
        <v>201.97800000000001</v>
      </c>
      <c r="N41" s="26">
        <f t="shared" si="11"/>
        <v>81.753426553109108</v>
      </c>
      <c r="O41" s="26">
        <f t="shared" si="12"/>
        <v>120.2245734468909</v>
      </c>
      <c r="P41" s="26">
        <f t="shared" si="13"/>
        <v>60.593400000000003</v>
      </c>
      <c r="Q41" s="26">
        <f t="shared" si="14"/>
        <v>0</v>
      </c>
      <c r="R41" s="26">
        <f t="shared" si="15"/>
        <v>0</v>
      </c>
      <c r="S41" s="26">
        <f t="shared" si="16"/>
        <v>0</v>
      </c>
      <c r="T41" s="26">
        <f t="shared" si="17"/>
        <v>0</v>
      </c>
      <c r="U41" s="26">
        <f t="shared" si="18"/>
        <v>120.2245734468909</v>
      </c>
      <c r="V41" s="26">
        <f t="shared" si="19"/>
        <v>81.753426553109108</v>
      </c>
      <c r="W41" s="26">
        <f t="shared" si="20"/>
        <v>3.1194207273865331</v>
      </c>
      <c r="X41" s="25">
        <f t="shared" si="21"/>
        <v>1</v>
      </c>
      <c r="Y41" s="26" t="str">
        <f t="shared" si="22"/>
        <v>OK</v>
      </c>
      <c r="Z41" s="26">
        <f t="shared" si="1"/>
        <v>123.34399417427744</v>
      </c>
      <c r="AA41" s="26">
        <f t="shared" si="23"/>
        <v>201.97800000000001</v>
      </c>
      <c r="AB41" s="26">
        <f t="shared" si="24"/>
        <v>90.08208225541776</v>
      </c>
      <c r="AC41" s="26">
        <f t="shared" si="2"/>
        <v>121.89591774458225</v>
      </c>
      <c r="AD41" s="26">
        <f t="shared" si="25"/>
        <v>128.50695288206782</v>
      </c>
      <c r="AE41" s="31">
        <f t="shared" si="26"/>
        <v>-4.0176493115734235E-2</v>
      </c>
      <c r="AF41" s="25">
        <f t="shared" si="27"/>
        <v>0</v>
      </c>
      <c r="AG41" s="26">
        <f t="shared" si="28"/>
        <v>0</v>
      </c>
      <c r="AH41" s="26">
        <f t="shared" si="29"/>
        <v>201.97800000000001</v>
      </c>
      <c r="AI41" s="25">
        <f t="shared" si="30"/>
        <v>0</v>
      </c>
    </row>
    <row r="42" spans="1:35" x14ac:dyDescent="0.35">
      <c r="A42" s="25">
        <v>15</v>
      </c>
      <c r="B42" s="26" t="str">
        <f t="shared" si="0"/>
        <v>Quarter 15</v>
      </c>
      <c r="C42" s="32">
        <v>103.37</v>
      </c>
      <c r="D42" s="33">
        <v>0.33500000000000002</v>
      </c>
      <c r="E42" s="33">
        <v>9.1499999999999998E-2</v>
      </c>
      <c r="F42" s="29">
        <f t="shared" si="3"/>
        <v>-7.87808573210943E-2</v>
      </c>
      <c r="G42" s="25">
        <f t="shared" si="4"/>
        <v>1</v>
      </c>
      <c r="H42" s="26">
        <f t="shared" si="5"/>
        <v>201.97800000000001</v>
      </c>
      <c r="I42" s="26">
        <f t="shared" si="6"/>
        <v>-15.911999999999985</v>
      </c>
      <c r="J42" s="26">
        <f t="shared" si="7"/>
        <v>1.5148349999999999</v>
      </c>
      <c r="K42" s="26">
        <f t="shared" si="8"/>
        <v>1.8701096324023707</v>
      </c>
      <c r="L42" s="26">
        <f t="shared" si="9"/>
        <v>-16.267274632402355</v>
      </c>
      <c r="M42" s="26">
        <f t="shared" si="10"/>
        <v>186.06600000000003</v>
      </c>
      <c r="N42" s="26">
        <f t="shared" si="11"/>
        <v>82.108701185511478</v>
      </c>
      <c r="O42" s="26">
        <f t="shared" si="12"/>
        <v>103.95729881448855</v>
      </c>
      <c r="P42" s="26">
        <f t="shared" si="13"/>
        <v>62.332110000000014</v>
      </c>
      <c r="Q42" s="26">
        <f t="shared" si="14"/>
        <v>0</v>
      </c>
      <c r="R42" s="26">
        <f t="shared" si="15"/>
        <v>0</v>
      </c>
      <c r="S42" s="26">
        <f t="shared" si="16"/>
        <v>0</v>
      </c>
      <c r="T42" s="26">
        <f t="shared" si="17"/>
        <v>0</v>
      </c>
      <c r="U42" s="26">
        <f t="shared" si="18"/>
        <v>103.95729881448855</v>
      </c>
      <c r="V42" s="26">
        <f t="shared" si="19"/>
        <v>82.108701185511478</v>
      </c>
      <c r="W42" s="26">
        <f t="shared" si="20"/>
        <v>3.1194207273865331</v>
      </c>
      <c r="X42" s="25">
        <f t="shared" si="21"/>
        <v>1</v>
      </c>
      <c r="Y42" s="26" t="str">
        <f t="shared" si="22"/>
        <v>OK</v>
      </c>
      <c r="Z42" s="26">
        <f t="shared" si="1"/>
        <v>107.07671954187509</v>
      </c>
      <c r="AA42" s="26">
        <f t="shared" si="23"/>
        <v>186.06600000000003</v>
      </c>
      <c r="AB42" s="26">
        <f t="shared" si="24"/>
        <v>90.627874887010435</v>
      </c>
      <c r="AC42" s="26">
        <f t="shared" si="2"/>
        <v>105.4381251129896</v>
      </c>
      <c r="AD42" s="26">
        <f t="shared" si="25"/>
        <v>128.50695288206782</v>
      </c>
      <c r="AE42" s="31">
        <f t="shared" si="26"/>
        <v>-0.1667632206629277</v>
      </c>
      <c r="AF42" s="25">
        <f t="shared" si="27"/>
        <v>0</v>
      </c>
      <c r="AG42" s="26">
        <f t="shared" si="28"/>
        <v>0</v>
      </c>
      <c r="AH42" s="26">
        <f t="shared" si="29"/>
        <v>186.06600000000003</v>
      </c>
      <c r="AI42" s="25">
        <f t="shared" si="30"/>
        <v>0</v>
      </c>
    </row>
    <row r="43" spans="1:35" x14ac:dyDescent="0.35">
      <c r="A43" s="25">
        <v>16</v>
      </c>
      <c r="B43" s="26" t="str">
        <f t="shared" si="0"/>
        <v>Quarter 16</v>
      </c>
      <c r="C43" s="32">
        <v>95.33</v>
      </c>
      <c r="D43" s="33">
        <v>0.37</v>
      </c>
      <c r="E43" s="33">
        <v>0.1</v>
      </c>
      <c r="F43" s="29">
        <f t="shared" si="3"/>
        <v>-7.7778852665183362E-2</v>
      </c>
      <c r="G43" s="25">
        <f t="shared" si="4"/>
        <v>1</v>
      </c>
      <c r="H43" s="26">
        <f t="shared" si="5"/>
        <v>186.06600000000003</v>
      </c>
      <c r="I43" s="26">
        <f t="shared" si="6"/>
        <v>-14.47200000000001</v>
      </c>
      <c r="J43" s="26">
        <f t="shared" si="7"/>
        <v>1.3954950000000002</v>
      </c>
      <c r="K43" s="26">
        <f t="shared" si="8"/>
        <v>2.0527175296377869</v>
      </c>
      <c r="L43" s="26">
        <f t="shared" si="9"/>
        <v>-15.129222529637797</v>
      </c>
      <c r="M43" s="26">
        <f t="shared" si="10"/>
        <v>171.59400000000002</v>
      </c>
      <c r="N43" s="26">
        <f t="shared" si="11"/>
        <v>82.76592371514927</v>
      </c>
      <c r="O43" s="26">
        <f t="shared" si="12"/>
        <v>88.828076284850752</v>
      </c>
      <c r="P43" s="26">
        <f t="shared" si="13"/>
        <v>63.48978000000001</v>
      </c>
      <c r="Q43" s="26">
        <f t="shared" si="14"/>
        <v>0</v>
      </c>
      <c r="R43" s="26">
        <f t="shared" si="15"/>
        <v>0</v>
      </c>
      <c r="S43" s="26">
        <f t="shared" si="16"/>
        <v>0</v>
      </c>
      <c r="T43" s="26">
        <f t="shared" si="17"/>
        <v>0</v>
      </c>
      <c r="U43" s="26">
        <f t="shared" si="18"/>
        <v>88.828076284850752</v>
      </c>
      <c r="V43" s="26">
        <f t="shared" si="19"/>
        <v>82.76592371514927</v>
      </c>
      <c r="W43" s="26">
        <f t="shared" si="20"/>
        <v>3.1194207273865331</v>
      </c>
      <c r="X43" s="25">
        <f t="shared" si="21"/>
        <v>1</v>
      </c>
      <c r="Y43" s="26" t="str">
        <f t="shared" si="22"/>
        <v>OK</v>
      </c>
      <c r="Z43" s="26">
        <f t="shared" si="1"/>
        <v>91.947497012237278</v>
      </c>
      <c r="AA43" s="26">
        <f t="shared" si="23"/>
        <v>171.59400000000002</v>
      </c>
      <c r="AB43" s="26">
        <f t="shared" si="24"/>
        <v>91.498076759185693</v>
      </c>
      <c r="AC43" s="26">
        <f t="shared" si="2"/>
        <v>90.095923240814329</v>
      </c>
      <c r="AD43" s="26">
        <f t="shared" si="25"/>
        <v>128.50695288206782</v>
      </c>
      <c r="AE43" s="31">
        <f t="shared" si="26"/>
        <v>-0.28449399079115623</v>
      </c>
      <c r="AF43" s="25">
        <f t="shared" si="27"/>
        <v>0</v>
      </c>
      <c r="AG43" s="26">
        <f t="shared" si="28"/>
        <v>0</v>
      </c>
      <c r="AH43" s="26">
        <f t="shared" si="29"/>
        <v>171.59400000000002</v>
      </c>
      <c r="AI43" s="25">
        <f t="shared" si="30"/>
        <v>0</v>
      </c>
    </row>
    <row r="44" spans="1:35" x14ac:dyDescent="0.35">
      <c r="A44" s="25">
        <v>17</v>
      </c>
      <c r="B44" s="26" t="str">
        <f t="shared" si="0"/>
        <v>Quarter 17</v>
      </c>
      <c r="C44" s="32">
        <v>82.95</v>
      </c>
      <c r="D44" s="33">
        <v>0.44500000000000001</v>
      </c>
      <c r="E44" s="33">
        <v>0.11</v>
      </c>
      <c r="F44" s="29">
        <f t="shared" si="3"/>
        <v>-0.12986468058323708</v>
      </c>
      <c r="G44" s="25">
        <f t="shared" si="4"/>
        <v>1</v>
      </c>
      <c r="H44" s="26">
        <f t="shared" si="5"/>
        <v>171.59400000000002</v>
      </c>
      <c r="I44" s="26">
        <f t="shared" si="6"/>
        <v>-22.283999999999985</v>
      </c>
      <c r="J44" s="26">
        <f t="shared" si="7"/>
        <v>1.2869550000000001</v>
      </c>
      <c r="K44" s="26">
        <f t="shared" si="8"/>
        <v>2.276062902166605</v>
      </c>
      <c r="L44" s="26">
        <f t="shared" si="9"/>
        <v>-23.27310790216659</v>
      </c>
      <c r="M44" s="26">
        <f t="shared" si="10"/>
        <v>149.31000000000003</v>
      </c>
      <c r="N44" s="26">
        <f t="shared" si="11"/>
        <v>83.755031617315865</v>
      </c>
      <c r="O44" s="26">
        <f t="shared" si="12"/>
        <v>65.554968382684166</v>
      </c>
      <c r="P44" s="26">
        <f t="shared" si="13"/>
        <v>66.44295000000001</v>
      </c>
      <c r="Q44" s="26">
        <f t="shared" si="14"/>
        <v>0.88798161731584457</v>
      </c>
      <c r="R44" s="26">
        <f t="shared" si="15"/>
        <v>0.88798161731584457</v>
      </c>
      <c r="S44" s="26">
        <f t="shared" si="16"/>
        <v>0</v>
      </c>
      <c r="T44" s="26">
        <f t="shared" si="17"/>
        <v>0</v>
      </c>
      <c r="U44" s="26">
        <f t="shared" si="18"/>
        <v>66.44295000000001</v>
      </c>
      <c r="V44" s="26">
        <f t="shared" si="19"/>
        <v>82.86705000000002</v>
      </c>
      <c r="W44" s="26">
        <f t="shared" si="20"/>
        <v>2.2314391100706885</v>
      </c>
      <c r="X44" s="25">
        <f t="shared" si="21"/>
        <v>1</v>
      </c>
      <c r="Y44" s="26" t="str">
        <f t="shared" si="22"/>
        <v>Margin call met from reserve</v>
      </c>
      <c r="Z44" s="26">
        <f t="shared" si="1"/>
        <v>68.674389110070706</v>
      </c>
      <c r="AA44" s="26">
        <f t="shared" si="23"/>
        <v>149.31000000000003</v>
      </c>
      <c r="AB44" s="26">
        <f t="shared" si="24"/>
        <v>92.7273188700633</v>
      </c>
      <c r="AC44" s="26">
        <f t="shared" si="2"/>
        <v>66.582681129936731</v>
      </c>
      <c r="AD44" s="26">
        <f t="shared" si="25"/>
        <v>128.50695288206782</v>
      </c>
      <c r="AE44" s="31">
        <f t="shared" si="26"/>
        <v>-0.46559787178913259</v>
      </c>
      <c r="AF44" s="25">
        <f t="shared" si="27"/>
        <v>0</v>
      </c>
      <c r="AG44" s="26">
        <f t="shared" si="28"/>
        <v>0</v>
      </c>
      <c r="AH44" s="26">
        <f t="shared" si="29"/>
        <v>149.31000000000003</v>
      </c>
      <c r="AI44" s="25">
        <f t="shared" si="30"/>
        <v>0</v>
      </c>
    </row>
    <row r="45" spans="1:35" x14ac:dyDescent="0.35">
      <c r="A45" s="25">
        <v>18</v>
      </c>
      <c r="B45" s="26" t="str">
        <f t="shared" si="0"/>
        <v>Quarter 18</v>
      </c>
      <c r="C45" s="32">
        <v>70.790000000000006</v>
      </c>
      <c r="D45" s="33">
        <v>0.52</v>
      </c>
      <c r="E45" s="33">
        <v>0.12</v>
      </c>
      <c r="F45" s="29">
        <f t="shared" si="3"/>
        <v>-0.14659433393610599</v>
      </c>
      <c r="G45" s="25">
        <f t="shared" si="4"/>
        <v>1</v>
      </c>
      <c r="H45" s="26">
        <f t="shared" si="5"/>
        <v>149.31000000000003</v>
      </c>
      <c r="I45" s="26">
        <f t="shared" si="6"/>
        <v>-21.887999999999991</v>
      </c>
      <c r="J45" s="26">
        <f t="shared" si="7"/>
        <v>1.1198250000000003</v>
      </c>
      <c r="K45" s="26">
        <f t="shared" si="8"/>
        <v>2.4860115000000005</v>
      </c>
      <c r="L45" s="26">
        <f t="shared" si="9"/>
        <v>-23.254186499999992</v>
      </c>
      <c r="M45" s="26">
        <f t="shared" si="10"/>
        <v>127.42200000000004</v>
      </c>
      <c r="N45" s="26">
        <f t="shared" si="11"/>
        <v>84.233236500000018</v>
      </c>
      <c r="O45" s="26">
        <f t="shared" si="12"/>
        <v>43.188763500000022</v>
      </c>
      <c r="P45" s="26">
        <f t="shared" si="13"/>
        <v>66.259440000000026</v>
      </c>
      <c r="Q45" s="26">
        <f t="shared" si="14"/>
        <v>23.070676500000005</v>
      </c>
      <c r="R45" s="26">
        <f t="shared" si="15"/>
        <v>2.2314391100706885</v>
      </c>
      <c r="S45" s="26">
        <f t="shared" si="16"/>
        <v>20.839237389929316</v>
      </c>
      <c r="T45" s="26">
        <f t="shared" si="17"/>
        <v>19.113300000000006</v>
      </c>
      <c r="U45" s="26">
        <f t="shared" si="18"/>
        <v>26.306902610070704</v>
      </c>
      <c r="V45" s="26">
        <f t="shared" si="19"/>
        <v>0</v>
      </c>
      <c r="W45" s="26">
        <f t="shared" si="20"/>
        <v>0</v>
      </c>
      <c r="X45" s="25">
        <f t="shared" si="21"/>
        <v>0</v>
      </c>
      <c r="Y45" s="26" t="str">
        <f t="shared" si="22"/>
        <v>DEFAULT - forced liquidation</v>
      </c>
      <c r="Z45" s="26">
        <f t="shared" si="1"/>
        <v>26.306902610070704</v>
      </c>
      <c r="AA45" s="26">
        <f t="shared" si="23"/>
        <v>127.42200000000004</v>
      </c>
      <c r="AB45" s="26">
        <f t="shared" si="24"/>
        <v>94.389313436165196</v>
      </c>
      <c r="AC45" s="26">
        <f t="shared" si="2"/>
        <v>43.032686563834844</v>
      </c>
      <c r="AD45" s="26">
        <f t="shared" si="25"/>
        <v>128.50695288206782</v>
      </c>
      <c r="AE45" s="31">
        <f t="shared" si="26"/>
        <v>-0.79528809904773934</v>
      </c>
      <c r="AF45" s="25">
        <f t="shared" si="27"/>
        <v>1</v>
      </c>
      <c r="AG45" s="26">
        <f t="shared" si="28"/>
        <v>127.42200000000004</v>
      </c>
      <c r="AH45" s="26">
        <f t="shared" si="29"/>
        <v>0</v>
      </c>
      <c r="AI45" s="25">
        <f t="shared" si="30"/>
        <v>0</v>
      </c>
    </row>
    <row r="46" spans="1:35" x14ac:dyDescent="0.35">
      <c r="A46" s="25">
        <v>19</v>
      </c>
      <c r="B46" s="26" t="str">
        <f t="shared" si="0"/>
        <v>Quarter 19</v>
      </c>
      <c r="C46" s="32">
        <v>60.26</v>
      </c>
      <c r="D46" s="33">
        <v>0.54</v>
      </c>
      <c r="E46" s="33">
        <v>0.1225</v>
      </c>
      <c r="F46" s="29">
        <f t="shared" si="3"/>
        <v>-0.14874982342138732</v>
      </c>
      <c r="G46" s="25">
        <f t="shared" si="4"/>
        <v>0</v>
      </c>
      <c r="H46" s="26">
        <f t="shared" si="5"/>
        <v>0</v>
      </c>
      <c r="I46" s="26">
        <f t="shared" si="6"/>
        <v>0</v>
      </c>
      <c r="J46" s="26">
        <f t="shared" si="7"/>
        <v>0</v>
      </c>
      <c r="K46" s="26">
        <f t="shared" si="8"/>
        <v>0</v>
      </c>
      <c r="L46" s="26">
        <f t="shared" si="9"/>
        <v>0</v>
      </c>
      <c r="M46" s="26">
        <f t="shared" si="10"/>
        <v>0</v>
      </c>
      <c r="N46" s="26">
        <f t="shared" si="11"/>
        <v>0</v>
      </c>
      <c r="O46" s="26">
        <f t="shared" si="12"/>
        <v>0</v>
      </c>
      <c r="P46" s="26">
        <f t="shared" si="13"/>
        <v>0</v>
      </c>
      <c r="Q46" s="26">
        <f t="shared" si="14"/>
        <v>0</v>
      </c>
      <c r="R46" s="26">
        <f t="shared" si="15"/>
        <v>0</v>
      </c>
      <c r="S46" s="26">
        <f t="shared" si="16"/>
        <v>0</v>
      </c>
      <c r="T46" s="26">
        <f t="shared" si="17"/>
        <v>0</v>
      </c>
      <c r="U46" s="26">
        <f t="shared" si="18"/>
        <v>26.306902610070704</v>
      </c>
      <c r="V46" s="26">
        <f t="shared" si="19"/>
        <v>0</v>
      </c>
      <c r="W46" s="26">
        <f t="shared" si="20"/>
        <v>0</v>
      </c>
      <c r="X46" s="25">
        <f t="shared" si="21"/>
        <v>0</v>
      </c>
      <c r="Y46" s="26" t="str">
        <f t="shared" si="22"/>
        <v>Liquidated earlier</v>
      </c>
      <c r="Z46" s="26">
        <f t="shared" si="1"/>
        <v>26.306902610070704</v>
      </c>
      <c r="AA46" s="26">
        <f t="shared" si="23"/>
        <v>108.46800000000002</v>
      </c>
      <c r="AB46" s="26">
        <f t="shared" si="24"/>
        <v>96.324321160147747</v>
      </c>
      <c r="AC46" s="26">
        <f t="shared" si="2"/>
        <v>22.143678839852271</v>
      </c>
      <c r="AD46" s="26">
        <f t="shared" si="25"/>
        <v>128.50695288206782</v>
      </c>
      <c r="AE46" s="31">
        <f t="shared" si="26"/>
        <v>-0.79528809904773934</v>
      </c>
      <c r="AF46" s="25">
        <f t="shared" si="27"/>
        <v>0</v>
      </c>
      <c r="AG46" s="26">
        <f t="shared" si="28"/>
        <v>0</v>
      </c>
      <c r="AH46" s="26">
        <f t="shared" si="29"/>
        <v>0</v>
      </c>
      <c r="AI46" s="25">
        <f t="shared" si="30"/>
        <v>0</v>
      </c>
    </row>
    <row r="47" spans="1:35" x14ac:dyDescent="0.35">
      <c r="A47" s="25">
        <v>20</v>
      </c>
      <c r="B47" s="26" t="str">
        <f t="shared" si="0"/>
        <v>Quarter 20</v>
      </c>
      <c r="C47" s="32">
        <v>52.41</v>
      </c>
      <c r="D47" s="33">
        <v>0.57999999999999996</v>
      </c>
      <c r="E47" s="33">
        <v>0.1275</v>
      </c>
      <c r="F47" s="29">
        <f t="shared" si="3"/>
        <v>-0.13026883504812481</v>
      </c>
      <c r="G47" s="25">
        <f t="shared" si="4"/>
        <v>0</v>
      </c>
      <c r="H47" s="26">
        <f t="shared" si="5"/>
        <v>0</v>
      </c>
      <c r="I47" s="26">
        <f t="shared" si="6"/>
        <v>0</v>
      </c>
      <c r="J47" s="26">
        <f t="shared" si="7"/>
        <v>0</v>
      </c>
      <c r="K47" s="26">
        <f t="shared" si="8"/>
        <v>0</v>
      </c>
      <c r="L47" s="26">
        <f t="shared" si="9"/>
        <v>0</v>
      </c>
      <c r="M47" s="26">
        <f t="shared" si="10"/>
        <v>0</v>
      </c>
      <c r="N47" s="26">
        <f t="shared" si="11"/>
        <v>0</v>
      </c>
      <c r="O47" s="26">
        <f t="shared" si="12"/>
        <v>0</v>
      </c>
      <c r="P47" s="26">
        <f t="shared" si="13"/>
        <v>0</v>
      </c>
      <c r="Q47" s="26">
        <f t="shared" si="14"/>
        <v>0</v>
      </c>
      <c r="R47" s="26">
        <f t="shared" si="15"/>
        <v>0</v>
      </c>
      <c r="S47" s="26">
        <f t="shared" si="16"/>
        <v>0</v>
      </c>
      <c r="T47" s="26">
        <f t="shared" si="17"/>
        <v>0</v>
      </c>
      <c r="U47" s="26">
        <f t="shared" si="18"/>
        <v>26.306902610070704</v>
      </c>
      <c r="V47" s="26">
        <f t="shared" si="19"/>
        <v>0</v>
      </c>
      <c r="W47" s="26">
        <f t="shared" si="20"/>
        <v>0</v>
      </c>
      <c r="X47" s="25">
        <f t="shared" si="21"/>
        <v>0</v>
      </c>
      <c r="Y47" s="26" t="str">
        <f t="shared" si="22"/>
        <v>Liquidated earlier</v>
      </c>
      <c r="Z47" s="26">
        <f t="shared" si="1"/>
        <v>26.306902610070704</v>
      </c>
      <c r="AA47" s="26">
        <f t="shared" si="23"/>
        <v>94.338000000000008</v>
      </c>
      <c r="AB47" s="26">
        <f t="shared" si="24"/>
        <v>98.581148897127477</v>
      </c>
      <c r="AC47" s="26">
        <f t="shared" si="2"/>
        <v>5.7568511028725311</v>
      </c>
      <c r="AD47" s="26">
        <f t="shared" si="25"/>
        <v>128.50695288206782</v>
      </c>
      <c r="AE47" s="31">
        <f t="shared" si="26"/>
        <v>-0.79528809904773934</v>
      </c>
      <c r="AF47" s="25">
        <f t="shared" si="27"/>
        <v>0</v>
      </c>
      <c r="AG47" s="26">
        <f t="shared" si="28"/>
        <v>0</v>
      </c>
      <c r="AH47" s="26">
        <f t="shared" si="29"/>
        <v>0</v>
      </c>
      <c r="AI47" s="25">
        <f t="shared" si="30"/>
        <v>0</v>
      </c>
    </row>
    <row r="48" spans="1:35" x14ac:dyDescent="0.35">
      <c r="A48" s="25">
        <v>21</v>
      </c>
      <c r="B48" s="26" t="str">
        <f t="shared" si="0"/>
        <v>Quarter 21</v>
      </c>
      <c r="C48" s="32">
        <v>50</v>
      </c>
      <c r="D48" s="33">
        <v>0.6</v>
      </c>
      <c r="E48" s="33">
        <v>0.13</v>
      </c>
      <c r="F48" s="29">
        <f t="shared" si="3"/>
        <v>-4.5983590917763717E-2</v>
      </c>
      <c r="G48" s="25">
        <f t="shared" si="4"/>
        <v>0</v>
      </c>
      <c r="H48" s="26">
        <f t="shared" si="5"/>
        <v>0</v>
      </c>
      <c r="I48" s="26">
        <f t="shared" si="6"/>
        <v>0</v>
      </c>
      <c r="J48" s="26">
        <f t="shared" si="7"/>
        <v>0</v>
      </c>
      <c r="K48" s="26">
        <f t="shared" si="8"/>
        <v>0</v>
      </c>
      <c r="L48" s="26">
        <f t="shared" si="9"/>
        <v>0</v>
      </c>
      <c r="M48" s="26">
        <f t="shared" si="10"/>
        <v>0</v>
      </c>
      <c r="N48" s="26">
        <f t="shared" si="11"/>
        <v>0</v>
      </c>
      <c r="O48" s="26">
        <f t="shared" si="12"/>
        <v>0</v>
      </c>
      <c r="P48" s="26">
        <f t="shared" si="13"/>
        <v>0</v>
      </c>
      <c r="Q48" s="26">
        <f t="shared" si="14"/>
        <v>0</v>
      </c>
      <c r="R48" s="26">
        <f t="shared" si="15"/>
        <v>0</v>
      </c>
      <c r="S48" s="26">
        <f t="shared" si="16"/>
        <v>0</v>
      </c>
      <c r="T48" s="26">
        <f t="shared" si="17"/>
        <v>0</v>
      </c>
      <c r="U48" s="26">
        <f t="shared" si="18"/>
        <v>26.306902610070704</v>
      </c>
      <c r="V48" s="26">
        <f t="shared" si="19"/>
        <v>0</v>
      </c>
      <c r="W48" s="26">
        <f t="shared" si="20"/>
        <v>0</v>
      </c>
      <c r="X48" s="25">
        <f t="shared" si="21"/>
        <v>0</v>
      </c>
      <c r="Y48" s="26" t="str">
        <f t="shared" si="22"/>
        <v>Liquidated earlier</v>
      </c>
      <c r="Z48" s="26">
        <f t="shared" si="1"/>
        <v>26.306902610070704</v>
      </c>
      <c r="AA48" s="26">
        <f t="shared" si="23"/>
        <v>90.000000000000014</v>
      </c>
      <c r="AB48" s="26">
        <f t="shared" si="24"/>
        <v>101.07750123628412</v>
      </c>
      <c r="AC48" s="26">
        <f t="shared" si="2"/>
        <v>-1.0775012362841068</v>
      </c>
      <c r="AD48" s="26">
        <f t="shared" si="25"/>
        <v>128.50695288206782</v>
      </c>
      <c r="AE48" s="31">
        <f t="shared" si="26"/>
        <v>-0.79528809904773934</v>
      </c>
      <c r="AF48" s="25">
        <f t="shared" si="27"/>
        <v>0</v>
      </c>
      <c r="AG48" s="26">
        <f t="shared" si="28"/>
        <v>0</v>
      </c>
      <c r="AH48" s="26">
        <f t="shared" si="29"/>
        <v>0</v>
      </c>
      <c r="AI48" s="25">
        <f t="shared" si="30"/>
        <v>0</v>
      </c>
    </row>
    <row r="49" spans="1:35" x14ac:dyDescent="0.35">
      <c r="A49" s="25">
        <v>22</v>
      </c>
      <c r="B49" s="26" t="str">
        <f t="shared" si="0"/>
        <v>Quarter 22</v>
      </c>
      <c r="C49" s="32">
        <v>52.45</v>
      </c>
      <c r="D49" s="33">
        <v>0.59699999999999998</v>
      </c>
      <c r="E49" s="33">
        <v>0.12939999999999999</v>
      </c>
      <c r="F49" s="29">
        <f t="shared" si="3"/>
        <v>4.9000000000000155E-2</v>
      </c>
      <c r="G49" s="25">
        <f t="shared" si="4"/>
        <v>0</v>
      </c>
      <c r="H49" s="26">
        <f t="shared" si="5"/>
        <v>0</v>
      </c>
      <c r="I49" s="26">
        <f t="shared" si="6"/>
        <v>0</v>
      </c>
      <c r="J49" s="26">
        <f t="shared" si="7"/>
        <v>0</v>
      </c>
      <c r="K49" s="26">
        <f t="shared" si="8"/>
        <v>0</v>
      </c>
      <c r="L49" s="26">
        <f t="shared" si="9"/>
        <v>0</v>
      </c>
      <c r="M49" s="26">
        <f t="shared" si="10"/>
        <v>0</v>
      </c>
      <c r="N49" s="26">
        <f t="shared" si="11"/>
        <v>0</v>
      </c>
      <c r="O49" s="26">
        <f t="shared" si="12"/>
        <v>0</v>
      </c>
      <c r="P49" s="26">
        <f t="shared" si="13"/>
        <v>0</v>
      </c>
      <c r="Q49" s="26">
        <f t="shared" si="14"/>
        <v>0</v>
      </c>
      <c r="R49" s="26">
        <f t="shared" si="15"/>
        <v>0</v>
      </c>
      <c r="S49" s="26">
        <f t="shared" si="16"/>
        <v>0</v>
      </c>
      <c r="T49" s="26">
        <f t="shared" si="17"/>
        <v>0</v>
      </c>
      <c r="U49" s="26">
        <f t="shared" si="18"/>
        <v>26.306902610070704</v>
      </c>
      <c r="V49" s="26">
        <f t="shared" si="19"/>
        <v>0</v>
      </c>
      <c r="W49" s="26">
        <f t="shared" si="20"/>
        <v>0</v>
      </c>
      <c r="X49" s="25">
        <f t="shared" si="21"/>
        <v>0</v>
      </c>
      <c r="Y49" s="26" t="str">
        <f t="shared" si="22"/>
        <v>Liquidated earlier</v>
      </c>
      <c r="Z49" s="26">
        <f t="shared" si="1"/>
        <v>26.306902610070704</v>
      </c>
      <c r="AA49" s="26">
        <f t="shared" si="23"/>
        <v>94.410000000000025</v>
      </c>
      <c r="AB49" s="26">
        <f t="shared" si="24"/>
        <v>103.67235840127792</v>
      </c>
      <c r="AC49" s="26">
        <f t="shared" si="2"/>
        <v>0.73764159872210655</v>
      </c>
      <c r="AD49" s="26">
        <f t="shared" si="25"/>
        <v>128.50695288206782</v>
      </c>
      <c r="AE49" s="31">
        <f t="shared" si="26"/>
        <v>-0.79528809904773934</v>
      </c>
      <c r="AF49" s="25">
        <f t="shared" si="27"/>
        <v>0</v>
      </c>
      <c r="AG49" s="26">
        <f t="shared" si="28"/>
        <v>0</v>
      </c>
      <c r="AH49" s="26">
        <f t="shared" si="29"/>
        <v>0</v>
      </c>
      <c r="AI49" s="25">
        <f t="shared" si="30"/>
        <v>0</v>
      </c>
    </row>
    <row r="50" spans="1:35" x14ac:dyDescent="0.35">
      <c r="A50" s="25">
        <v>23</v>
      </c>
      <c r="B50" s="26" t="str">
        <f t="shared" si="0"/>
        <v>Quarter 23</v>
      </c>
      <c r="C50" s="32">
        <v>58.58</v>
      </c>
      <c r="D50" s="33">
        <v>0.58809999999999996</v>
      </c>
      <c r="E50" s="33">
        <v>0.12759999999999999</v>
      </c>
      <c r="F50" s="29">
        <f t="shared" si="3"/>
        <v>0.11687321258341266</v>
      </c>
      <c r="G50" s="25">
        <f t="shared" si="4"/>
        <v>0</v>
      </c>
      <c r="H50" s="26">
        <f t="shared" si="5"/>
        <v>0</v>
      </c>
      <c r="I50" s="26">
        <f t="shared" si="6"/>
        <v>0</v>
      </c>
      <c r="J50" s="26">
        <f t="shared" si="7"/>
        <v>0</v>
      </c>
      <c r="K50" s="26">
        <f t="shared" si="8"/>
        <v>0</v>
      </c>
      <c r="L50" s="26">
        <f t="shared" si="9"/>
        <v>0</v>
      </c>
      <c r="M50" s="26">
        <f t="shared" si="10"/>
        <v>0</v>
      </c>
      <c r="N50" s="26">
        <f t="shared" si="11"/>
        <v>0</v>
      </c>
      <c r="O50" s="26">
        <f t="shared" si="12"/>
        <v>0</v>
      </c>
      <c r="P50" s="26">
        <f t="shared" si="13"/>
        <v>0</v>
      </c>
      <c r="Q50" s="26">
        <f t="shared" si="14"/>
        <v>0</v>
      </c>
      <c r="R50" s="26">
        <f t="shared" si="15"/>
        <v>0</v>
      </c>
      <c r="S50" s="26">
        <f t="shared" si="16"/>
        <v>0</v>
      </c>
      <c r="T50" s="26">
        <f t="shared" si="17"/>
        <v>0</v>
      </c>
      <c r="U50" s="26">
        <f t="shared" si="18"/>
        <v>26.306902610070704</v>
      </c>
      <c r="V50" s="26">
        <f t="shared" si="19"/>
        <v>0</v>
      </c>
      <c r="W50" s="26">
        <f t="shared" si="20"/>
        <v>0</v>
      </c>
      <c r="X50" s="25">
        <f t="shared" si="21"/>
        <v>0</v>
      </c>
      <c r="Y50" s="26" t="str">
        <f t="shared" si="22"/>
        <v>Liquidated earlier</v>
      </c>
      <c r="Z50" s="26">
        <f t="shared" si="1"/>
        <v>26.306902610070704</v>
      </c>
      <c r="AA50" s="26">
        <f t="shared" si="23"/>
        <v>105.44400000000002</v>
      </c>
      <c r="AB50" s="26">
        <f t="shared" si="24"/>
        <v>106.2714316342787</v>
      </c>
      <c r="AC50" s="26">
        <f t="shared" si="2"/>
        <v>9.1725683657213182</v>
      </c>
      <c r="AD50" s="26">
        <f t="shared" si="25"/>
        <v>128.50695288206782</v>
      </c>
      <c r="AE50" s="31">
        <f t="shared" si="26"/>
        <v>-0.79528809904773934</v>
      </c>
      <c r="AF50" s="25">
        <f t="shared" si="27"/>
        <v>0</v>
      </c>
      <c r="AG50" s="26">
        <f t="shared" si="28"/>
        <v>0</v>
      </c>
      <c r="AH50" s="26">
        <f t="shared" si="29"/>
        <v>0</v>
      </c>
      <c r="AI50" s="25">
        <f t="shared" si="30"/>
        <v>0</v>
      </c>
    </row>
    <row r="51" spans="1:35" x14ac:dyDescent="0.35">
      <c r="A51" s="25">
        <v>24</v>
      </c>
      <c r="B51" s="26" t="str">
        <f t="shared" si="0"/>
        <v>Quarter 24</v>
      </c>
      <c r="C51" s="32">
        <v>69.66</v>
      </c>
      <c r="D51" s="33">
        <v>0.57410000000000005</v>
      </c>
      <c r="E51" s="33">
        <v>0.12479999999999999</v>
      </c>
      <c r="F51" s="29">
        <f t="shared" si="3"/>
        <v>0.18914305223625805</v>
      </c>
      <c r="G51" s="25">
        <f t="shared" si="4"/>
        <v>0</v>
      </c>
      <c r="H51" s="26">
        <f t="shared" si="5"/>
        <v>0</v>
      </c>
      <c r="I51" s="26">
        <f t="shared" si="6"/>
        <v>0</v>
      </c>
      <c r="J51" s="26">
        <f t="shared" si="7"/>
        <v>0</v>
      </c>
      <c r="K51" s="26">
        <f t="shared" si="8"/>
        <v>0</v>
      </c>
      <c r="L51" s="26">
        <f t="shared" si="9"/>
        <v>0</v>
      </c>
      <c r="M51" s="26">
        <f t="shared" si="10"/>
        <v>0</v>
      </c>
      <c r="N51" s="26">
        <f t="shared" si="11"/>
        <v>0</v>
      </c>
      <c r="O51" s="26">
        <f t="shared" si="12"/>
        <v>0</v>
      </c>
      <c r="P51" s="26">
        <f t="shared" si="13"/>
        <v>0</v>
      </c>
      <c r="Q51" s="26">
        <f t="shared" si="14"/>
        <v>0</v>
      </c>
      <c r="R51" s="26">
        <f t="shared" si="15"/>
        <v>0</v>
      </c>
      <c r="S51" s="26">
        <f t="shared" si="16"/>
        <v>0</v>
      </c>
      <c r="T51" s="26">
        <f t="shared" si="17"/>
        <v>0</v>
      </c>
      <c r="U51" s="26">
        <f t="shared" si="18"/>
        <v>26.306902610070704</v>
      </c>
      <c r="V51" s="26">
        <f t="shared" si="19"/>
        <v>0</v>
      </c>
      <c r="W51" s="26">
        <f t="shared" si="20"/>
        <v>0</v>
      </c>
      <c r="X51" s="25">
        <f t="shared" si="21"/>
        <v>0</v>
      </c>
      <c r="Y51" s="26" t="str">
        <f t="shared" si="22"/>
        <v>Liquidated earlier</v>
      </c>
      <c r="Z51" s="26">
        <f t="shared" si="1"/>
        <v>26.306902610070704</v>
      </c>
      <c r="AA51" s="26">
        <f t="shared" si="23"/>
        <v>125.38800000000002</v>
      </c>
      <c r="AB51" s="26">
        <f t="shared" si="24"/>
        <v>108.79627030126818</v>
      </c>
      <c r="AC51" s="26">
        <f t="shared" si="2"/>
        <v>26.591729698731839</v>
      </c>
      <c r="AD51" s="26">
        <f t="shared" si="25"/>
        <v>128.50695288206782</v>
      </c>
      <c r="AE51" s="31">
        <f t="shared" si="26"/>
        <v>-0.79528809904773934</v>
      </c>
      <c r="AF51" s="25">
        <f t="shared" si="27"/>
        <v>0</v>
      </c>
      <c r="AG51" s="26">
        <f t="shared" si="28"/>
        <v>0</v>
      </c>
      <c r="AH51" s="26">
        <f t="shared" si="29"/>
        <v>0</v>
      </c>
      <c r="AI51" s="25">
        <f t="shared" si="30"/>
        <v>0</v>
      </c>
    </row>
    <row r="52" spans="1:35" x14ac:dyDescent="0.35">
      <c r="A52" s="25">
        <v>25</v>
      </c>
      <c r="B52" s="26" t="str">
        <f t="shared" si="0"/>
        <v>Quarter 25</v>
      </c>
      <c r="C52" s="32">
        <v>83.69</v>
      </c>
      <c r="D52" s="33">
        <v>0.55620000000000003</v>
      </c>
      <c r="E52" s="33">
        <v>0.1212</v>
      </c>
      <c r="F52" s="29">
        <f t="shared" si="3"/>
        <v>0.20140683318977892</v>
      </c>
      <c r="G52" s="25">
        <f t="shared" si="4"/>
        <v>0</v>
      </c>
      <c r="H52" s="26">
        <f t="shared" si="5"/>
        <v>0</v>
      </c>
      <c r="I52" s="26">
        <f t="shared" si="6"/>
        <v>0</v>
      </c>
      <c r="J52" s="26">
        <f t="shared" si="7"/>
        <v>0</v>
      </c>
      <c r="K52" s="26">
        <f t="shared" si="8"/>
        <v>0</v>
      </c>
      <c r="L52" s="26">
        <f t="shared" si="9"/>
        <v>0</v>
      </c>
      <c r="M52" s="26">
        <f t="shared" si="10"/>
        <v>0</v>
      </c>
      <c r="N52" s="26">
        <f t="shared" si="11"/>
        <v>0</v>
      </c>
      <c r="O52" s="26">
        <f t="shared" si="12"/>
        <v>0</v>
      </c>
      <c r="P52" s="26">
        <f t="shared" si="13"/>
        <v>0</v>
      </c>
      <c r="Q52" s="26">
        <f t="shared" si="14"/>
        <v>0</v>
      </c>
      <c r="R52" s="26">
        <f t="shared" si="15"/>
        <v>0</v>
      </c>
      <c r="S52" s="26">
        <f t="shared" si="16"/>
        <v>0</v>
      </c>
      <c r="T52" s="26">
        <f t="shared" si="17"/>
        <v>0</v>
      </c>
      <c r="U52" s="26">
        <f t="shared" si="18"/>
        <v>26.306902610070704</v>
      </c>
      <c r="V52" s="26">
        <f t="shared" si="19"/>
        <v>0</v>
      </c>
      <c r="W52" s="26">
        <f t="shared" si="20"/>
        <v>0</v>
      </c>
      <c r="X52" s="25">
        <f t="shared" si="21"/>
        <v>0</v>
      </c>
      <c r="Y52" s="26" t="str">
        <f t="shared" si="22"/>
        <v>Liquidated earlier</v>
      </c>
      <c r="Z52" s="26">
        <f t="shared" si="1"/>
        <v>26.306902610070704</v>
      </c>
      <c r="AA52" s="26">
        <f t="shared" si="23"/>
        <v>150.64200000000002</v>
      </c>
      <c r="AB52" s="26">
        <f t="shared" si="24"/>
        <v>111.15238729139661</v>
      </c>
      <c r="AC52" s="26">
        <f t="shared" si="2"/>
        <v>49.489612708603417</v>
      </c>
      <c r="AD52" s="26">
        <f t="shared" si="25"/>
        <v>128.50695288206782</v>
      </c>
      <c r="AE52" s="31">
        <f t="shared" si="26"/>
        <v>-0.79528809904773934</v>
      </c>
      <c r="AF52" s="25">
        <f t="shared" si="27"/>
        <v>0</v>
      </c>
      <c r="AG52" s="26">
        <f t="shared" si="28"/>
        <v>0</v>
      </c>
      <c r="AH52" s="26">
        <f t="shared" si="29"/>
        <v>0</v>
      </c>
      <c r="AI52" s="25">
        <f t="shared" si="30"/>
        <v>0</v>
      </c>
    </row>
    <row r="53" spans="1:35" x14ac:dyDescent="0.35">
      <c r="A53" s="25">
        <v>26</v>
      </c>
      <c r="B53" s="26" t="str">
        <f t="shared" si="0"/>
        <v>Quarter 26</v>
      </c>
      <c r="C53" s="32">
        <v>99.5</v>
      </c>
      <c r="D53" s="33">
        <v>0.53569999999999995</v>
      </c>
      <c r="E53" s="33">
        <v>0.1171</v>
      </c>
      <c r="F53" s="29">
        <f t="shared" si="3"/>
        <v>0.18891145895566974</v>
      </c>
      <c r="G53" s="25">
        <f t="shared" si="4"/>
        <v>0</v>
      </c>
      <c r="H53" s="26">
        <f t="shared" si="5"/>
        <v>0</v>
      </c>
      <c r="I53" s="26">
        <f t="shared" si="6"/>
        <v>0</v>
      </c>
      <c r="J53" s="26">
        <f t="shared" si="7"/>
        <v>0</v>
      </c>
      <c r="K53" s="26">
        <f t="shared" si="8"/>
        <v>0</v>
      </c>
      <c r="L53" s="26">
        <f t="shared" si="9"/>
        <v>0</v>
      </c>
      <c r="M53" s="26">
        <f t="shared" si="10"/>
        <v>0</v>
      </c>
      <c r="N53" s="26">
        <f t="shared" si="11"/>
        <v>0</v>
      </c>
      <c r="O53" s="26">
        <f t="shared" si="12"/>
        <v>0</v>
      </c>
      <c r="P53" s="26">
        <f t="shared" si="13"/>
        <v>0</v>
      </c>
      <c r="Q53" s="26">
        <f t="shared" si="14"/>
        <v>0</v>
      </c>
      <c r="R53" s="26">
        <f t="shared" si="15"/>
        <v>0</v>
      </c>
      <c r="S53" s="26">
        <f t="shared" si="16"/>
        <v>0</v>
      </c>
      <c r="T53" s="26">
        <f t="shared" si="17"/>
        <v>0</v>
      </c>
      <c r="U53" s="26">
        <f t="shared" si="18"/>
        <v>26.306902610070704</v>
      </c>
      <c r="V53" s="26">
        <f t="shared" si="19"/>
        <v>0</v>
      </c>
      <c r="W53" s="26">
        <f t="shared" si="20"/>
        <v>0</v>
      </c>
      <c r="X53" s="25">
        <f t="shared" si="21"/>
        <v>0</v>
      </c>
      <c r="Y53" s="26" t="str">
        <f t="shared" si="22"/>
        <v>Liquidated earlier</v>
      </c>
      <c r="Z53" s="26">
        <f t="shared" si="1"/>
        <v>26.306902610070704</v>
      </c>
      <c r="AA53" s="26">
        <f t="shared" si="23"/>
        <v>179.10000000000002</v>
      </c>
      <c r="AB53" s="26">
        <f t="shared" si="24"/>
        <v>113.27655842935225</v>
      </c>
      <c r="AC53" s="26">
        <f t="shared" si="2"/>
        <v>75.823441570647773</v>
      </c>
      <c r="AD53" s="26">
        <f t="shared" si="25"/>
        <v>128.50695288206782</v>
      </c>
      <c r="AE53" s="31">
        <f t="shared" si="26"/>
        <v>-0.79528809904773934</v>
      </c>
      <c r="AF53" s="25">
        <f t="shared" si="27"/>
        <v>0</v>
      </c>
      <c r="AG53" s="26">
        <f t="shared" si="28"/>
        <v>0</v>
      </c>
      <c r="AH53" s="26">
        <f t="shared" si="29"/>
        <v>0</v>
      </c>
      <c r="AI53" s="25">
        <f t="shared" si="30"/>
        <v>0</v>
      </c>
    </row>
    <row r="54" spans="1:35" x14ac:dyDescent="0.35">
      <c r="A54" s="25">
        <v>27</v>
      </c>
      <c r="B54" s="26" t="str">
        <f t="shared" si="0"/>
        <v>Quarter 27</v>
      </c>
      <c r="C54" s="32">
        <v>116.31</v>
      </c>
      <c r="D54" s="33">
        <v>0.51429999999999998</v>
      </c>
      <c r="E54" s="33">
        <v>0.1129</v>
      </c>
      <c r="F54" s="29">
        <f t="shared" si="3"/>
        <v>0.16894472361809054</v>
      </c>
      <c r="G54" s="25">
        <f t="shared" si="4"/>
        <v>0</v>
      </c>
      <c r="H54" s="26">
        <f t="shared" si="5"/>
        <v>0</v>
      </c>
      <c r="I54" s="26">
        <f t="shared" si="6"/>
        <v>0</v>
      </c>
      <c r="J54" s="26">
        <f t="shared" si="7"/>
        <v>0</v>
      </c>
      <c r="K54" s="26">
        <f t="shared" si="8"/>
        <v>0</v>
      </c>
      <c r="L54" s="26">
        <f t="shared" si="9"/>
        <v>0</v>
      </c>
      <c r="M54" s="26">
        <f t="shared" si="10"/>
        <v>0</v>
      </c>
      <c r="N54" s="26">
        <f t="shared" si="11"/>
        <v>0</v>
      </c>
      <c r="O54" s="26">
        <f t="shared" si="12"/>
        <v>0</v>
      </c>
      <c r="P54" s="26">
        <f t="shared" si="13"/>
        <v>0</v>
      </c>
      <c r="Q54" s="26">
        <f t="shared" si="14"/>
        <v>0</v>
      </c>
      <c r="R54" s="26">
        <f t="shared" si="15"/>
        <v>0</v>
      </c>
      <c r="S54" s="26">
        <f t="shared" si="16"/>
        <v>0</v>
      </c>
      <c r="T54" s="26">
        <f t="shared" si="17"/>
        <v>0</v>
      </c>
      <c r="U54" s="26">
        <f t="shared" si="18"/>
        <v>26.306902610070704</v>
      </c>
      <c r="V54" s="26">
        <f t="shared" si="19"/>
        <v>0</v>
      </c>
      <c r="W54" s="26">
        <f t="shared" si="20"/>
        <v>0</v>
      </c>
      <c r="X54" s="25">
        <f t="shared" si="21"/>
        <v>0</v>
      </c>
      <c r="Y54" s="26" t="str">
        <f t="shared" si="22"/>
        <v>Liquidated earlier</v>
      </c>
      <c r="Z54" s="26">
        <f t="shared" si="1"/>
        <v>26.306902610070704</v>
      </c>
      <c r="AA54" s="26">
        <f t="shared" si="23"/>
        <v>209.35800000000003</v>
      </c>
      <c r="AB54" s="26">
        <f t="shared" si="24"/>
        <v>115.13053929102071</v>
      </c>
      <c r="AC54" s="26">
        <f t="shared" si="2"/>
        <v>104.22746070897932</v>
      </c>
      <c r="AD54" s="26">
        <f t="shared" si="25"/>
        <v>128.50695288206782</v>
      </c>
      <c r="AE54" s="31">
        <f t="shared" si="26"/>
        <v>-0.79528809904773934</v>
      </c>
      <c r="AF54" s="25">
        <f t="shared" si="27"/>
        <v>0</v>
      </c>
      <c r="AG54" s="26">
        <f t="shared" si="28"/>
        <v>0</v>
      </c>
      <c r="AH54" s="26">
        <f t="shared" si="29"/>
        <v>0</v>
      </c>
      <c r="AI54" s="25">
        <f t="shared" si="30"/>
        <v>0</v>
      </c>
    </row>
    <row r="55" spans="1:35" x14ac:dyDescent="0.35">
      <c r="A55" s="25">
        <v>28</v>
      </c>
      <c r="B55" s="26" t="str">
        <f t="shared" si="0"/>
        <v>Quarter 28</v>
      </c>
      <c r="C55" s="32">
        <v>130.96</v>
      </c>
      <c r="D55" s="33">
        <v>0.49380000000000002</v>
      </c>
      <c r="E55" s="33">
        <v>0.10879999999999999</v>
      </c>
      <c r="F55" s="29">
        <f t="shared" si="3"/>
        <v>0.12595649557217792</v>
      </c>
      <c r="G55" s="25">
        <f t="shared" si="4"/>
        <v>0</v>
      </c>
      <c r="H55" s="26">
        <f t="shared" si="5"/>
        <v>0</v>
      </c>
      <c r="I55" s="26">
        <f t="shared" si="6"/>
        <v>0</v>
      </c>
      <c r="J55" s="26">
        <f t="shared" si="7"/>
        <v>0</v>
      </c>
      <c r="K55" s="26">
        <f t="shared" si="8"/>
        <v>0</v>
      </c>
      <c r="L55" s="26">
        <f t="shared" si="9"/>
        <v>0</v>
      </c>
      <c r="M55" s="26">
        <f t="shared" si="10"/>
        <v>0</v>
      </c>
      <c r="N55" s="26">
        <f t="shared" si="11"/>
        <v>0</v>
      </c>
      <c r="O55" s="26">
        <f t="shared" si="12"/>
        <v>0</v>
      </c>
      <c r="P55" s="26">
        <f t="shared" si="13"/>
        <v>0</v>
      </c>
      <c r="Q55" s="26">
        <f t="shared" si="14"/>
        <v>0</v>
      </c>
      <c r="R55" s="26">
        <f t="shared" si="15"/>
        <v>0</v>
      </c>
      <c r="S55" s="26">
        <f t="shared" si="16"/>
        <v>0</v>
      </c>
      <c r="T55" s="26">
        <f t="shared" si="17"/>
        <v>0</v>
      </c>
      <c r="U55" s="26">
        <f t="shared" si="18"/>
        <v>26.306902610070704</v>
      </c>
      <c r="V55" s="26">
        <f t="shared" si="19"/>
        <v>0</v>
      </c>
      <c r="W55" s="26">
        <f t="shared" si="20"/>
        <v>0</v>
      </c>
      <c r="X55" s="25">
        <f t="shared" si="21"/>
        <v>0</v>
      </c>
      <c r="Y55" s="26" t="str">
        <f t="shared" si="22"/>
        <v>Liquidated earlier</v>
      </c>
      <c r="Z55" s="26">
        <f t="shared" si="1"/>
        <v>26.306902610070704</v>
      </c>
      <c r="AA55" s="26">
        <f t="shared" si="23"/>
        <v>235.72800000000007</v>
      </c>
      <c r="AB55" s="26">
        <f t="shared" si="24"/>
        <v>116.69190495973646</v>
      </c>
      <c r="AC55" s="26">
        <f t="shared" si="2"/>
        <v>129.0360950402636</v>
      </c>
      <c r="AD55" s="26">
        <f t="shared" si="25"/>
        <v>128.50695288206782</v>
      </c>
      <c r="AE55" s="31">
        <f t="shared" si="26"/>
        <v>-0.79528809904773934</v>
      </c>
      <c r="AF55" s="25">
        <f t="shared" si="27"/>
        <v>0</v>
      </c>
      <c r="AG55" s="26">
        <f t="shared" si="28"/>
        <v>0</v>
      </c>
      <c r="AH55" s="26">
        <f t="shared" si="29"/>
        <v>0</v>
      </c>
      <c r="AI55" s="25">
        <f t="shared" si="30"/>
        <v>0</v>
      </c>
    </row>
    <row r="56" spans="1:35" x14ac:dyDescent="0.35">
      <c r="A56" s="25">
        <v>29</v>
      </c>
      <c r="B56" s="26" t="str">
        <f t="shared" si="0"/>
        <v>Quarter 29</v>
      </c>
      <c r="C56" s="32">
        <v>144.53</v>
      </c>
      <c r="D56" s="33">
        <v>0.47589999999999999</v>
      </c>
      <c r="E56" s="33">
        <v>0.1052</v>
      </c>
      <c r="F56" s="29">
        <f t="shared" si="3"/>
        <v>0.10361942577886363</v>
      </c>
      <c r="G56" s="25">
        <f t="shared" si="4"/>
        <v>0</v>
      </c>
      <c r="H56" s="26">
        <f t="shared" si="5"/>
        <v>0</v>
      </c>
      <c r="I56" s="26">
        <f t="shared" si="6"/>
        <v>0</v>
      </c>
      <c r="J56" s="26">
        <f t="shared" si="7"/>
        <v>0</v>
      </c>
      <c r="K56" s="26">
        <f t="shared" si="8"/>
        <v>0</v>
      </c>
      <c r="L56" s="26">
        <f t="shared" si="9"/>
        <v>0</v>
      </c>
      <c r="M56" s="26">
        <f t="shared" si="10"/>
        <v>0</v>
      </c>
      <c r="N56" s="26">
        <f t="shared" si="11"/>
        <v>0</v>
      </c>
      <c r="O56" s="26">
        <f t="shared" si="12"/>
        <v>0</v>
      </c>
      <c r="P56" s="26">
        <f t="shared" si="13"/>
        <v>0</v>
      </c>
      <c r="Q56" s="26">
        <f t="shared" si="14"/>
        <v>0</v>
      </c>
      <c r="R56" s="26">
        <f t="shared" si="15"/>
        <v>0</v>
      </c>
      <c r="S56" s="26">
        <f t="shared" si="16"/>
        <v>0</v>
      </c>
      <c r="T56" s="26">
        <f t="shared" si="17"/>
        <v>0</v>
      </c>
      <c r="U56" s="26">
        <f t="shared" si="18"/>
        <v>26.306902610070704</v>
      </c>
      <c r="V56" s="26">
        <f t="shared" si="19"/>
        <v>0</v>
      </c>
      <c r="W56" s="26">
        <f t="shared" si="20"/>
        <v>0</v>
      </c>
      <c r="X56" s="25">
        <f t="shared" si="21"/>
        <v>0</v>
      </c>
      <c r="Y56" s="26" t="str">
        <f t="shared" si="22"/>
        <v>Liquidated earlier</v>
      </c>
      <c r="Z56" s="26">
        <f t="shared" si="1"/>
        <v>26.306902610070704</v>
      </c>
      <c r="AA56" s="26">
        <f t="shared" si="23"/>
        <v>260.15400000000005</v>
      </c>
      <c r="AB56" s="26">
        <f t="shared" si="24"/>
        <v>117.99294206017753</v>
      </c>
      <c r="AC56" s="26">
        <f t="shared" si="2"/>
        <v>152.16105793982251</v>
      </c>
      <c r="AD56" s="26">
        <f t="shared" si="25"/>
        <v>128.50695288206782</v>
      </c>
      <c r="AE56" s="31">
        <f t="shared" si="26"/>
        <v>-0.79528809904773934</v>
      </c>
      <c r="AF56" s="25">
        <f t="shared" si="27"/>
        <v>0</v>
      </c>
      <c r="AG56" s="26">
        <f t="shared" si="28"/>
        <v>0</v>
      </c>
      <c r="AH56" s="26">
        <f t="shared" si="29"/>
        <v>0</v>
      </c>
      <c r="AI56" s="25">
        <f t="shared" si="30"/>
        <v>0</v>
      </c>
    </row>
    <row r="57" spans="1:35" x14ac:dyDescent="0.35">
      <c r="A57" s="25">
        <v>30</v>
      </c>
      <c r="B57" s="26" t="str">
        <f t="shared" si="0"/>
        <v>Quarter 30</v>
      </c>
      <c r="C57" s="32">
        <v>154.54</v>
      </c>
      <c r="D57" s="33">
        <v>0.46189999999999998</v>
      </c>
      <c r="E57" s="33">
        <v>0.1024</v>
      </c>
      <c r="F57" s="29">
        <f t="shared" si="3"/>
        <v>6.9258977374939468E-2</v>
      </c>
      <c r="G57" s="25">
        <f t="shared" si="4"/>
        <v>0</v>
      </c>
      <c r="H57" s="26">
        <f t="shared" si="5"/>
        <v>0</v>
      </c>
      <c r="I57" s="26">
        <f t="shared" si="6"/>
        <v>0</v>
      </c>
      <c r="J57" s="26">
        <f t="shared" si="7"/>
        <v>0</v>
      </c>
      <c r="K57" s="26">
        <f t="shared" si="8"/>
        <v>0</v>
      </c>
      <c r="L57" s="26">
        <f t="shared" si="9"/>
        <v>0</v>
      </c>
      <c r="M57" s="26">
        <f t="shared" si="10"/>
        <v>0</v>
      </c>
      <c r="N57" s="26">
        <f t="shared" si="11"/>
        <v>0</v>
      </c>
      <c r="O57" s="26">
        <f t="shared" si="12"/>
        <v>0</v>
      </c>
      <c r="P57" s="26">
        <f t="shared" si="13"/>
        <v>0</v>
      </c>
      <c r="Q57" s="26">
        <f t="shared" si="14"/>
        <v>0</v>
      </c>
      <c r="R57" s="26">
        <f t="shared" si="15"/>
        <v>0</v>
      </c>
      <c r="S57" s="26">
        <f t="shared" si="16"/>
        <v>0</v>
      </c>
      <c r="T57" s="26">
        <f t="shared" si="17"/>
        <v>0</v>
      </c>
      <c r="U57" s="26">
        <f t="shared" si="18"/>
        <v>26.306902610070704</v>
      </c>
      <c r="V57" s="26">
        <f t="shared" si="19"/>
        <v>0</v>
      </c>
      <c r="W57" s="26">
        <f t="shared" si="20"/>
        <v>0</v>
      </c>
      <c r="X57" s="25">
        <f t="shared" si="21"/>
        <v>0</v>
      </c>
      <c r="Y57" s="26" t="str">
        <f t="shared" si="22"/>
        <v>Liquidated earlier</v>
      </c>
      <c r="Z57" s="26">
        <f t="shared" si="1"/>
        <v>26.306902610070704</v>
      </c>
      <c r="AA57" s="26">
        <f t="shared" si="23"/>
        <v>278.17200000000008</v>
      </c>
      <c r="AB57" s="26">
        <f t="shared" si="24"/>
        <v>119.06240637691808</v>
      </c>
      <c r="AC57" s="26">
        <f t="shared" si="2"/>
        <v>169.10959362308199</v>
      </c>
      <c r="AD57" s="26">
        <f t="shared" si="25"/>
        <v>128.50695288206782</v>
      </c>
      <c r="AE57" s="31">
        <f t="shared" si="26"/>
        <v>-0.79528809904773934</v>
      </c>
      <c r="AF57" s="25">
        <f t="shared" si="27"/>
        <v>0</v>
      </c>
      <c r="AG57" s="26">
        <f t="shared" si="28"/>
        <v>0</v>
      </c>
      <c r="AH57" s="26">
        <f t="shared" si="29"/>
        <v>0</v>
      </c>
      <c r="AI57" s="25">
        <f t="shared" si="30"/>
        <v>0</v>
      </c>
    </row>
    <row r="58" spans="1:35" x14ac:dyDescent="0.35">
      <c r="A58" s="25">
        <v>31</v>
      </c>
      <c r="B58" s="26" t="str">
        <f t="shared" si="0"/>
        <v>Quarter 31</v>
      </c>
      <c r="C58" s="32">
        <v>162.99</v>
      </c>
      <c r="D58" s="33">
        <v>0.45300000000000001</v>
      </c>
      <c r="E58" s="33">
        <v>0.10059999999999999</v>
      </c>
      <c r="F58" s="29">
        <f t="shared" si="3"/>
        <v>5.46784004141323E-2</v>
      </c>
      <c r="G58" s="25">
        <f t="shared" si="4"/>
        <v>0</v>
      </c>
      <c r="H58" s="26">
        <f t="shared" si="5"/>
        <v>0</v>
      </c>
      <c r="I58" s="26">
        <f t="shared" si="6"/>
        <v>0</v>
      </c>
      <c r="J58" s="26">
        <f t="shared" si="7"/>
        <v>0</v>
      </c>
      <c r="K58" s="26">
        <f t="shared" si="8"/>
        <v>0</v>
      </c>
      <c r="L58" s="26">
        <f t="shared" si="9"/>
        <v>0</v>
      </c>
      <c r="M58" s="26">
        <f t="shared" si="10"/>
        <v>0</v>
      </c>
      <c r="N58" s="26">
        <f t="shared" si="11"/>
        <v>0</v>
      </c>
      <c r="O58" s="26">
        <f t="shared" si="12"/>
        <v>0</v>
      </c>
      <c r="P58" s="26">
        <f t="shared" si="13"/>
        <v>0</v>
      </c>
      <c r="Q58" s="26">
        <f t="shared" si="14"/>
        <v>0</v>
      </c>
      <c r="R58" s="26">
        <f t="shared" si="15"/>
        <v>0</v>
      </c>
      <c r="S58" s="26">
        <f t="shared" si="16"/>
        <v>0</v>
      </c>
      <c r="T58" s="26">
        <f t="shared" si="17"/>
        <v>0</v>
      </c>
      <c r="U58" s="26">
        <f t="shared" si="18"/>
        <v>26.306902610070704</v>
      </c>
      <c r="V58" s="26">
        <f t="shared" si="19"/>
        <v>0</v>
      </c>
      <c r="W58" s="26">
        <f t="shared" si="20"/>
        <v>0</v>
      </c>
      <c r="X58" s="25">
        <f t="shared" si="21"/>
        <v>0</v>
      </c>
      <c r="Y58" s="26" t="str">
        <f t="shared" si="22"/>
        <v>Liquidated earlier</v>
      </c>
      <c r="Z58" s="26">
        <f t="shared" si="1"/>
        <v>26.306902610070704</v>
      </c>
      <c r="AA58" s="26">
        <f t="shared" si="23"/>
        <v>293.38200000000012</v>
      </c>
      <c r="AB58" s="26">
        <f t="shared" si="24"/>
        <v>119.97053589729757</v>
      </c>
      <c r="AC58" s="26">
        <f t="shared" si="2"/>
        <v>183.41146410270255</v>
      </c>
      <c r="AD58" s="26">
        <f t="shared" si="25"/>
        <v>128.50695288206782</v>
      </c>
      <c r="AE58" s="31">
        <f t="shared" si="26"/>
        <v>-0.79528809904773934</v>
      </c>
      <c r="AF58" s="25">
        <f t="shared" si="27"/>
        <v>0</v>
      </c>
      <c r="AG58" s="26">
        <f t="shared" si="28"/>
        <v>0</v>
      </c>
      <c r="AH58" s="26">
        <f t="shared" si="29"/>
        <v>0</v>
      </c>
      <c r="AI58" s="25">
        <f t="shared" si="30"/>
        <v>0</v>
      </c>
    </row>
    <row r="59" spans="1:35" x14ac:dyDescent="0.35">
      <c r="A59" s="25">
        <v>32</v>
      </c>
      <c r="B59" s="26" t="str">
        <f t="shared" si="0"/>
        <v>Quarter 32</v>
      </c>
      <c r="C59" s="32">
        <v>165</v>
      </c>
      <c r="D59" s="33">
        <v>0.45</v>
      </c>
      <c r="E59" s="33">
        <v>0.1</v>
      </c>
      <c r="F59" s="29">
        <f t="shared" si="3"/>
        <v>1.23320449107307E-2</v>
      </c>
      <c r="G59" s="25">
        <f t="shared" si="4"/>
        <v>0</v>
      </c>
      <c r="H59" s="26">
        <f t="shared" si="5"/>
        <v>0</v>
      </c>
      <c r="I59" s="26">
        <f t="shared" si="6"/>
        <v>0</v>
      </c>
      <c r="J59" s="26">
        <f t="shared" si="7"/>
        <v>0</v>
      </c>
      <c r="K59" s="26">
        <f t="shared" si="8"/>
        <v>0</v>
      </c>
      <c r="L59" s="26">
        <f t="shared" si="9"/>
        <v>0</v>
      </c>
      <c r="M59" s="26">
        <f t="shared" si="10"/>
        <v>0</v>
      </c>
      <c r="N59" s="26">
        <f t="shared" si="11"/>
        <v>0</v>
      </c>
      <c r="O59" s="26">
        <f t="shared" si="12"/>
        <v>0</v>
      </c>
      <c r="P59" s="26">
        <f t="shared" si="13"/>
        <v>0</v>
      </c>
      <c r="Q59" s="26">
        <f t="shared" si="14"/>
        <v>0</v>
      </c>
      <c r="R59" s="26">
        <f t="shared" si="15"/>
        <v>0</v>
      </c>
      <c r="S59" s="26">
        <f t="shared" si="16"/>
        <v>0</v>
      </c>
      <c r="T59" s="26">
        <f t="shared" si="17"/>
        <v>0</v>
      </c>
      <c r="U59" s="26">
        <f t="shared" si="18"/>
        <v>26.306902610070704</v>
      </c>
      <c r="V59" s="26">
        <f t="shared" si="19"/>
        <v>0</v>
      </c>
      <c r="W59" s="26">
        <f t="shared" si="20"/>
        <v>0</v>
      </c>
      <c r="X59" s="25">
        <f t="shared" si="21"/>
        <v>0</v>
      </c>
      <c r="Y59" s="26" t="str">
        <f t="shared" si="22"/>
        <v>Liquidated earlier</v>
      </c>
      <c r="Z59" s="26">
        <f t="shared" si="1"/>
        <v>26.306902610070704</v>
      </c>
      <c r="AA59" s="26">
        <f t="shared" si="23"/>
        <v>297.00000000000011</v>
      </c>
      <c r="AB59" s="26">
        <f t="shared" si="24"/>
        <v>120.76943429472999</v>
      </c>
      <c r="AC59" s="26">
        <f t="shared" si="2"/>
        <v>186.23056570527012</v>
      </c>
      <c r="AD59" s="26">
        <f t="shared" si="25"/>
        <v>128.50695288206782</v>
      </c>
      <c r="AE59" s="31">
        <f t="shared" si="26"/>
        <v>-0.79528809904773934</v>
      </c>
      <c r="AF59" s="25">
        <f t="shared" si="27"/>
        <v>0</v>
      </c>
      <c r="AG59" s="26">
        <f t="shared" si="28"/>
        <v>0</v>
      </c>
      <c r="AH59" s="26">
        <f t="shared" si="29"/>
        <v>0</v>
      </c>
      <c r="AI59" s="25">
        <f t="shared" si="30"/>
        <v>0</v>
      </c>
    </row>
  </sheetData>
  <mergeCells count="38">
    <mergeCell ref="D7:F7"/>
    <mergeCell ref="D16:F16"/>
    <mergeCell ref="A23:C23"/>
    <mergeCell ref="A8:C8"/>
    <mergeCell ref="A14:C14"/>
    <mergeCell ref="A22:C22"/>
    <mergeCell ref="D12:F12"/>
    <mergeCell ref="A17:C17"/>
    <mergeCell ref="D18:F18"/>
    <mergeCell ref="D9:F9"/>
    <mergeCell ref="D8:F8"/>
    <mergeCell ref="D11:F11"/>
    <mergeCell ref="D13:F13"/>
    <mergeCell ref="A18:C18"/>
    <mergeCell ref="D17:F17"/>
    <mergeCell ref="A21:C21"/>
    <mergeCell ref="A20:C20"/>
    <mergeCell ref="A10:C10"/>
    <mergeCell ref="A13:C13"/>
    <mergeCell ref="D14:F14"/>
    <mergeCell ref="A19:C19"/>
    <mergeCell ref="A12:C12"/>
    <mergeCell ref="A3:Q3"/>
    <mergeCell ref="D23:F23"/>
    <mergeCell ref="A9:C9"/>
    <mergeCell ref="A15:C15"/>
    <mergeCell ref="D20:F20"/>
    <mergeCell ref="D10:F10"/>
    <mergeCell ref="D19:F19"/>
    <mergeCell ref="A11:C11"/>
    <mergeCell ref="A6:C6"/>
    <mergeCell ref="D22:F22"/>
    <mergeCell ref="D21:F21"/>
    <mergeCell ref="A7:C7"/>
    <mergeCell ref="D6:F6"/>
    <mergeCell ref="A16:C16"/>
    <mergeCell ref="A4:C4"/>
    <mergeCell ref="D15:F15"/>
  </mergeCells>
  <conditionalFormatting sqref="A27:AI59">
    <cfRule type="expression" dxfId="13" priority="3">
      <formula>LEFT($Y27,7)="DEFAULT"</formula>
    </cfRule>
    <cfRule type="expression" dxfId="12" priority="4">
      <formula>LEFT($Y27,6)="Shares"</formula>
    </cfRule>
    <cfRule type="expression" dxfId="11" priority="5">
      <formula>LEFT($Y27,6)="Margin"</formula>
    </cfRule>
    <cfRule type="expression" dxfId="10" priority="6">
      <formula>LEFT($Y27,10)="Liquidated"</formula>
    </cfRule>
  </conditionalFormatting>
  <conditionalFormatting sqref="D14">
    <cfRule type="expression" dxfId="9" priority="1">
      <formula>LEFT($D$14,4)="RUIN"</formula>
    </cfRule>
    <cfRule type="expression" dxfId="8" priority="2">
      <formula>LEFT($D$14,4)="SURV"</formula>
    </cfRule>
  </conditionalFormatting>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59"/>
  <sheetViews>
    <sheetView showGridLines="0" zoomScale="50" zoomScaleNormal="50" workbookViewId="0">
      <pane xSplit="2" ySplit="26" topLeftCell="C27" activePane="bottomRight" state="frozen"/>
      <selection pane="topRight"/>
      <selection pane="bottomLeft"/>
      <selection pane="bottomRight" activeCell="D32" sqref="D32"/>
    </sheetView>
  </sheetViews>
  <sheetFormatPr defaultRowHeight="14.5" x14ac:dyDescent="0.35"/>
  <cols>
    <col min="1" max="1" width="5" customWidth="1"/>
    <col min="2" max="3" width="11" customWidth="1"/>
    <col min="4" max="4" width="12" customWidth="1"/>
    <col min="5" max="7" width="11" customWidth="1"/>
    <col min="8" max="9" width="13" customWidth="1"/>
    <col min="10" max="12" width="11" customWidth="1"/>
    <col min="13" max="13" width="13" customWidth="1"/>
    <col min="14" max="16" width="12" customWidth="1"/>
    <col min="17" max="17" width="11" customWidth="1"/>
    <col min="18" max="23" width="12" customWidth="1"/>
    <col min="24" max="24" width="11" customWidth="1"/>
    <col min="25" max="25" width="30" customWidth="1"/>
    <col min="26" max="26" width="14" customWidth="1"/>
    <col min="27" max="27" width="13" customWidth="1"/>
    <col min="28" max="28" width="12" customWidth="1"/>
    <col min="29" max="29" width="15" customWidth="1"/>
    <col min="30" max="30" width="13" customWidth="1"/>
    <col min="31" max="31" width="11" customWidth="1"/>
    <col min="32" max="32" width="9" customWidth="1"/>
    <col min="33" max="33" width="16" customWidth="1"/>
    <col min="34" max="34" width="17" customWidth="1"/>
    <col min="35" max="35" width="11" customWidth="1"/>
  </cols>
  <sheetData>
    <row r="1" spans="1:17" ht="19" x14ac:dyDescent="0.45">
      <c r="A1" s="1" t="s">
        <v>147</v>
      </c>
    </row>
    <row r="2" spans="1:17" x14ac:dyDescent="0.35">
      <c r="A2" s="2" t="s">
        <v>87</v>
      </c>
    </row>
    <row r="3" spans="1:17" ht="48" customHeight="1" x14ac:dyDescent="0.35">
      <c r="A3" s="38" t="s">
        <v>23</v>
      </c>
      <c r="B3" s="39"/>
      <c r="C3" s="39"/>
      <c r="D3" s="39"/>
      <c r="E3" s="39"/>
      <c r="F3" s="39"/>
      <c r="G3" s="39"/>
      <c r="H3" s="39"/>
      <c r="I3" s="39"/>
      <c r="J3" s="39"/>
      <c r="K3" s="39"/>
      <c r="L3" s="39"/>
      <c r="M3" s="39"/>
      <c r="N3" s="39"/>
      <c r="O3" s="39"/>
      <c r="P3" s="39"/>
      <c r="Q3" s="39"/>
    </row>
    <row r="4" spans="1:17" ht="42" customHeight="1" x14ac:dyDescent="0.35">
      <c r="A4" s="45" t="s">
        <v>88</v>
      </c>
      <c r="B4" s="39"/>
      <c r="C4" s="39"/>
      <c r="D4" s="22">
        <v>1</v>
      </c>
    </row>
    <row r="5" spans="1:17" x14ac:dyDescent="0.35">
      <c r="A5" s="3" t="s">
        <v>89</v>
      </c>
      <c r="B5" s="23"/>
      <c r="C5" s="23"/>
      <c r="D5" s="23"/>
      <c r="E5" s="23"/>
      <c r="F5" s="23"/>
    </row>
    <row r="6" spans="1:17" x14ac:dyDescent="0.35">
      <c r="A6" s="42" t="s">
        <v>90</v>
      </c>
      <c r="B6" s="41"/>
      <c r="C6" s="41"/>
      <c r="D6" s="40">
        <f>Starting_Equity+Liquidity_Reserve_0</f>
        <v>110</v>
      </c>
      <c r="E6" s="41"/>
      <c r="F6" s="41"/>
    </row>
    <row r="7" spans="1:17" x14ac:dyDescent="0.35">
      <c r="A7" s="42" t="s">
        <v>91</v>
      </c>
      <c r="B7" s="41"/>
      <c r="C7" s="41"/>
      <c r="D7" s="40">
        <f>Z59</f>
        <v>68.596098667427043</v>
      </c>
      <c r="E7" s="41"/>
      <c r="F7" s="41"/>
    </row>
    <row r="8" spans="1:17" x14ac:dyDescent="0.35">
      <c r="A8" s="42" t="s">
        <v>92</v>
      </c>
      <c r="B8" s="41"/>
      <c r="C8" s="41"/>
      <c r="D8" s="46">
        <f>D7/D6-1</f>
        <v>-0.37639910302339052</v>
      </c>
      <c r="E8" s="41"/>
      <c r="F8" s="41"/>
    </row>
    <row r="9" spans="1:17" x14ac:dyDescent="0.35">
      <c r="A9" s="42" t="s">
        <v>93</v>
      </c>
      <c r="B9" s="41"/>
      <c r="C9" s="41"/>
      <c r="D9" s="46">
        <f>MIN(AE27:AE59)</f>
        <v>-0.89114129730136526</v>
      </c>
      <c r="E9" s="41"/>
      <c r="F9" s="41"/>
    </row>
    <row r="10" spans="1:17" x14ac:dyDescent="0.35">
      <c r="A10" s="42" t="s">
        <v>94</v>
      </c>
      <c r="B10" s="41"/>
      <c r="C10" s="41"/>
      <c r="D10" s="43">
        <f>COUNTIF(Q28:Q59,"&gt;0")</f>
        <v>7</v>
      </c>
      <c r="E10" s="41"/>
      <c r="F10" s="41"/>
    </row>
    <row r="11" spans="1:17" x14ac:dyDescent="0.35">
      <c r="A11" s="42" t="s">
        <v>95</v>
      </c>
      <c r="B11" s="41"/>
      <c r="C11" s="41"/>
      <c r="D11" s="40">
        <f>SUM(R28:R59)</f>
        <v>10</v>
      </c>
      <c r="E11" s="41"/>
      <c r="F11" s="41"/>
    </row>
    <row r="12" spans="1:17" x14ac:dyDescent="0.35">
      <c r="A12" s="42" t="s">
        <v>96</v>
      </c>
      <c r="B12" s="41"/>
      <c r="C12" s="41"/>
      <c r="D12" s="40">
        <f>MIN(W27:W59)</f>
        <v>0</v>
      </c>
      <c r="E12" s="41"/>
      <c r="F12" s="41"/>
    </row>
    <row r="13" spans="1:17" x14ac:dyDescent="0.35">
      <c r="A13" s="42" t="s">
        <v>97</v>
      </c>
      <c r="B13" s="41"/>
      <c r="C13" s="41"/>
      <c r="D13" s="43" t="str">
        <f>IFERROR(INDEX(A27:A59,MATCH(1,AF27:AF59,0)),"None")</f>
        <v>None</v>
      </c>
      <c r="E13" s="41"/>
      <c r="F13" s="41"/>
    </row>
    <row r="14" spans="1:17" x14ac:dyDescent="0.35">
      <c r="A14" s="42" t="s">
        <v>98</v>
      </c>
      <c r="B14" s="41"/>
      <c r="C14" s="41"/>
      <c r="D14" s="44" t="str">
        <f>IF(ISNUMBER(D13),"RUIN: forced out, "&amp;LOWER(Period_Unit)&amp;" "&amp;D13,IF(D21&gt;0,"SURVIVED: "&amp;D21&amp;" partial sale"&amp;IF(D21&gt;1,"s",""),"SURVIVED to convergence"))</f>
        <v>SURVIVED: 4 partial sales</v>
      </c>
      <c r="E14" s="41"/>
      <c r="F14" s="41"/>
    </row>
    <row r="15" spans="1:17" x14ac:dyDescent="0.35">
      <c r="A15" s="42" t="s">
        <v>99</v>
      </c>
      <c r="B15" s="41"/>
      <c r="C15" s="41"/>
      <c r="D15" s="46">
        <f>MAX(D27:D59)</f>
        <v>0.6</v>
      </c>
      <c r="E15" s="41"/>
      <c r="F15" s="41"/>
    </row>
    <row r="16" spans="1:17" x14ac:dyDescent="0.35">
      <c r="A16" s="42" t="s">
        <v>100</v>
      </c>
      <c r="B16" s="41"/>
      <c r="C16" s="41"/>
      <c r="D16" s="46">
        <f>MAX(E27:E59)</f>
        <v>0.13</v>
      </c>
      <c r="E16" s="41"/>
      <c r="F16" s="41"/>
    </row>
    <row r="17" spans="1:35" x14ac:dyDescent="0.35">
      <c r="A17" s="42" t="s">
        <v>101</v>
      </c>
      <c r="B17" s="41"/>
      <c r="C17" s="41"/>
      <c r="D17" s="40">
        <f>AC59</f>
        <v>186.23056570527012</v>
      </c>
      <c r="E17" s="41"/>
      <c r="F17" s="41"/>
    </row>
    <row r="18" spans="1:35" x14ac:dyDescent="0.35">
      <c r="A18" s="42" t="s">
        <v>102</v>
      </c>
      <c r="B18" s="41"/>
      <c r="C18" s="41"/>
      <c r="D18" s="46">
        <f>D17/D6-1</f>
        <v>0.69300514277518288</v>
      </c>
      <c r="E18" s="41"/>
      <c r="F18" s="41"/>
    </row>
    <row r="19" spans="1:35" x14ac:dyDescent="0.35">
      <c r="A19" s="42" t="s">
        <v>103</v>
      </c>
      <c r="B19" s="41"/>
      <c r="C19" s="41"/>
      <c r="D19" s="44" t="str">
        <f>IF(D17&gt;D6,IF(ISNUMBER(D13),"Yes - but only after forced exit","Yes"),"No")</f>
        <v>Yes</v>
      </c>
      <c r="E19" s="41"/>
      <c r="F19" s="41"/>
    </row>
    <row r="20" spans="1:35" x14ac:dyDescent="0.35">
      <c r="A20" s="42" t="s">
        <v>104</v>
      </c>
      <c r="B20" s="41"/>
      <c r="C20" s="41"/>
      <c r="D20" s="40">
        <f>D17-D7</f>
        <v>117.63446703784308</v>
      </c>
      <c r="E20" s="41"/>
      <c r="F20" s="41"/>
    </row>
    <row r="21" spans="1:35" x14ac:dyDescent="0.35">
      <c r="A21" s="42" t="s">
        <v>105</v>
      </c>
      <c r="B21" s="41"/>
      <c r="C21" s="41"/>
      <c r="D21" s="43">
        <f>SUM(AI28:AI59)</f>
        <v>4</v>
      </c>
      <c r="E21" s="41"/>
      <c r="F21" s="41"/>
    </row>
    <row r="22" spans="1:35" x14ac:dyDescent="0.35">
      <c r="A22" s="42" t="s">
        <v>106</v>
      </c>
      <c r="B22" s="41"/>
      <c r="C22" s="41"/>
      <c r="D22" s="40">
        <f>SUM(AG28:AG59)</f>
        <v>86.663511085440362</v>
      </c>
      <c r="E22" s="41"/>
      <c r="F22" s="41"/>
    </row>
    <row r="23" spans="1:35" x14ac:dyDescent="0.35">
      <c r="A23" s="42" t="s">
        <v>107</v>
      </c>
      <c r="B23" s="41"/>
      <c r="C23" s="41"/>
      <c r="D23" s="40">
        <f>SUM(T28:T59)</f>
        <v>12.999526662816054</v>
      </c>
      <c r="E23" s="41"/>
      <c r="F23" s="41"/>
    </row>
    <row r="25" spans="1:35" x14ac:dyDescent="0.35">
      <c r="A25" s="24" t="s">
        <v>108</v>
      </c>
    </row>
    <row r="26" spans="1:35" ht="66" customHeight="1" x14ac:dyDescent="0.35">
      <c r="A26" s="6" t="s">
        <v>109</v>
      </c>
      <c r="B26" s="6" t="s">
        <v>110</v>
      </c>
      <c r="C26" s="6" t="s">
        <v>111</v>
      </c>
      <c r="D26" s="6" t="s">
        <v>112</v>
      </c>
      <c r="E26" s="6" t="s">
        <v>113</v>
      </c>
      <c r="F26" s="6" t="s">
        <v>114</v>
      </c>
      <c r="G26" s="6" t="s">
        <v>115</v>
      </c>
      <c r="H26" s="6" t="s">
        <v>116</v>
      </c>
      <c r="I26" s="6" t="s">
        <v>117</v>
      </c>
      <c r="J26" s="6" t="s">
        <v>118</v>
      </c>
      <c r="K26" s="6" t="s">
        <v>119</v>
      </c>
      <c r="L26" s="6" t="s">
        <v>120</v>
      </c>
      <c r="M26" s="6" t="s">
        <v>121</v>
      </c>
      <c r="N26" s="6" t="s">
        <v>122</v>
      </c>
      <c r="O26" s="6" t="s">
        <v>123</v>
      </c>
      <c r="P26" s="6" t="s">
        <v>124</v>
      </c>
      <c r="Q26" s="6" t="s">
        <v>125</v>
      </c>
      <c r="R26" s="6" t="s">
        <v>126</v>
      </c>
      <c r="S26" s="6" t="s">
        <v>127</v>
      </c>
      <c r="T26" s="6" t="s">
        <v>128</v>
      </c>
      <c r="U26" s="6" t="s">
        <v>129</v>
      </c>
      <c r="V26" s="6" t="s">
        <v>130</v>
      </c>
      <c r="W26" s="6" t="s">
        <v>131</v>
      </c>
      <c r="X26" s="6" t="s">
        <v>132</v>
      </c>
      <c r="Y26" s="6" t="s">
        <v>133</v>
      </c>
      <c r="Z26" s="6" t="s">
        <v>134</v>
      </c>
      <c r="AA26" s="6" t="s">
        <v>135</v>
      </c>
      <c r="AB26" s="6" t="s">
        <v>136</v>
      </c>
      <c r="AC26" s="6" t="s">
        <v>137</v>
      </c>
      <c r="AD26" s="6" t="s">
        <v>138</v>
      </c>
      <c r="AE26" s="6" t="s">
        <v>139</v>
      </c>
      <c r="AF26" s="6" t="s">
        <v>140</v>
      </c>
      <c r="AG26" s="6" t="s">
        <v>141</v>
      </c>
      <c r="AH26" s="6" t="s">
        <v>142</v>
      </c>
      <c r="AI26" s="6" t="s">
        <v>143</v>
      </c>
    </row>
    <row r="27" spans="1:35" x14ac:dyDescent="0.35">
      <c r="A27" s="25">
        <v>0</v>
      </c>
      <c r="B27" s="26" t="str">
        <f t="shared" ref="B27:B59" si="0">Period_Unit&amp;" "&amp;A27</f>
        <v>Quarter 0</v>
      </c>
      <c r="C27" s="27">
        <f>Entry_Driver</f>
        <v>100</v>
      </c>
      <c r="D27" s="28">
        <f>Initial_Margin_Rate</f>
        <v>0.3</v>
      </c>
      <c r="E27" s="28">
        <f>Entry_Financing_Rate</f>
        <v>0.08</v>
      </c>
      <c r="F27" s="29"/>
      <c r="G27" s="25">
        <v>1</v>
      </c>
      <c r="H27" s="26"/>
      <c r="I27" s="26"/>
      <c r="J27" s="26"/>
      <c r="K27" s="26"/>
      <c r="L27" s="26"/>
      <c r="M27" s="30">
        <f>Initial_Position_Value</f>
        <v>180</v>
      </c>
      <c r="N27" s="26"/>
      <c r="O27" s="26"/>
      <c r="P27" s="26"/>
      <c r="Q27" s="26"/>
      <c r="R27" s="26"/>
      <c r="S27" s="26"/>
      <c r="T27" s="26"/>
      <c r="U27" s="30">
        <f>Starting_Equity</f>
        <v>100</v>
      </c>
      <c r="V27" s="30">
        <f>Initial_Loan</f>
        <v>80</v>
      </c>
      <c r="W27" s="30">
        <f>Liquidity_Reserve_0</f>
        <v>10</v>
      </c>
      <c r="X27" s="25">
        <v>1</v>
      </c>
      <c r="Y27" s="26" t="s">
        <v>144</v>
      </c>
      <c r="Z27" s="26">
        <f t="shared" ref="Z27:Z59" si="1">U27+W27</f>
        <v>110</v>
      </c>
      <c r="AA27" s="30">
        <f>Initial_Position_Value</f>
        <v>180</v>
      </c>
      <c r="AB27" s="30">
        <f>Initial_Loan</f>
        <v>80</v>
      </c>
      <c r="AC27" s="26">
        <f t="shared" ref="AC27:AC59" si="2">AA27-AB27+Liquidity_Reserve_0</f>
        <v>110</v>
      </c>
      <c r="AD27" s="26">
        <f>Z27</f>
        <v>110</v>
      </c>
      <c r="AE27" s="31">
        <v>0</v>
      </c>
      <c r="AF27" s="25">
        <v>0</v>
      </c>
      <c r="AG27" s="26">
        <v>0</v>
      </c>
      <c r="AH27" s="26">
        <f>Initial_Position_Value</f>
        <v>180</v>
      </c>
      <c r="AI27" s="25">
        <v>0</v>
      </c>
    </row>
    <row r="28" spans="1:35" x14ac:dyDescent="0.35">
      <c r="A28" s="25">
        <v>1</v>
      </c>
      <c r="B28" s="26" t="str">
        <f t="shared" si="0"/>
        <v>Quarter 1</v>
      </c>
      <c r="C28" s="27">
        <f>Case2B_Ruin_ChangingRates!C28</f>
        <v>96.63</v>
      </c>
      <c r="D28" s="28">
        <f>Case2B_Ruin_ChangingRates!D28</f>
        <v>0.33</v>
      </c>
      <c r="E28" s="28">
        <f>Case2B_Ruin_ChangingRates!E28</f>
        <v>8.5000000000000006E-2</v>
      </c>
      <c r="F28" s="29">
        <f t="shared" ref="F28:F59" si="3">C28/C27-1</f>
        <v>-3.3700000000000063E-2</v>
      </c>
      <c r="G28" s="25">
        <f t="shared" ref="G28:G59" si="4">X27</f>
        <v>1</v>
      </c>
      <c r="H28" s="26">
        <f t="shared" ref="H28:H59" si="5">G28*AH27</f>
        <v>180</v>
      </c>
      <c r="I28" s="26">
        <f t="shared" ref="I28:I59" si="6">H28*F28</f>
        <v>-6.0660000000000114</v>
      </c>
      <c r="J28" s="26">
        <f t="shared" ref="J28:J59" si="7">H28*Dividend_Yield_pa*Period_Length_Yrs</f>
        <v>1.3499999999999999</v>
      </c>
      <c r="K28" s="26">
        <f t="shared" ref="K28:K59" si="8">G28*V27*E28*Period_Length_Yrs</f>
        <v>1.7000000000000002</v>
      </c>
      <c r="L28" s="26">
        <f t="shared" ref="L28:L59" si="9">I28+J28-K28</f>
        <v>-6.4160000000000119</v>
      </c>
      <c r="M28" s="26">
        <f t="shared" ref="M28:M59" si="10">H28*(1+F28)</f>
        <v>173.934</v>
      </c>
      <c r="N28" s="26">
        <f t="shared" ref="N28:N59" si="11">G28*(V27+K28-J28)</f>
        <v>80.350000000000009</v>
      </c>
      <c r="O28" s="26">
        <f t="shared" ref="O28:O59" si="12">M28-N28</f>
        <v>93.583999999999989</v>
      </c>
      <c r="P28" s="26">
        <f t="shared" ref="P28:P59" si="13">D28*M28</f>
        <v>57.398220000000002</v>
      </c>
      <c r="Q28" s="26">
        <f t="shared" ref="Q28:Q59" si="14">MAX(0,P28-O28)</f>
        <v>0</v>
      </c>
      <c r="R28" s="26">
        <f t="shared" ref="R28:R59" si="15">MIN(Q28,W27)</f>
        <v>0</v>
      </c>
      <c r="S28" s="26">
        <f t="shared" ref="S28:S59" si="16">Q28-R28</f>
        <v>0</v>
      </c>
      <c r="T28" s="26">
        <f t="shared" ref="T28:T59" si="17">IF(S28&gt;0,Liquidation_Slippage*AG28,0)</f>
        <v>0</v>
      </c>
      <c r="U28" s="26">
        <f t="shared" ref="U28:U59" si="18">IF(G28=0,U27,IF(S28&gt;0,MAX(0,O28+R28-T28),O28+R28))</f>
        <v>93.583999999999989</v>
      </c>
      <c r="V28" s="26">
        <f t="shared" ref="V28:V59" si="19">IF(G28=0,0,IF(S28&gt;0,IF(AG28&lt;M28,N28-R28-AG28*(1-Liquidation_Slippage),0),N28-R28))</f>
        <v>80.350000000000009</v>
      </c>
      <c r="W28" s="26">
        <f t="shared" ref="W28:W59" si="20">W27-R28</f>
        <v>10</v>
      </c>
      <c r="X28" s="25">
        <f t="shared" ref="X28:X59" si="21">IF(AND(G28=1,OR(S28=0,AG28&lt;M28)),1,0)</f>
        <v>1</v>
      </c>
      <c r="Y28" s="26" t="str">
        <f t="shared" ref="Y28:Y59" si="22">IF(G28=0,"Liquidated earlier",IF(AF28=1,"DEFAULT - forced liquidation",IF(AI28=1,"Shares sold to meet call",IF(Q28&gt;0,"Margin call met from reserve","OK"))))</f>
        <v>OK</v>
      </c>
      <c r="Z28" s="26">
        <f t="shared" si="1"/>
        <v>103.58399999999999</v>
      </c>
      <c r="AA28" s="26">
        <f t="shared" ref="AA28:AA59" si="23">AA27*(1+F28)</f>
        <v>173.934</v>
      </c>
      <c r="AB28" s="26">
        <f t="shared" ref="AB28:AB59" si="24">AB27*(1+E28*Period_Length_Yrs)-AA27*Dividend_Yield_pa*Period_Length_Yrs</f>
        <v>80.350000000000009</v>
      </c>
      <c r="AC28" s="26">
        <f t="shared" si="2"/>
        <v>103.58399999999999</v>
      </c>
      <c r="AD28" s="26">
        <f t="shared" ref="AD28:AD59" si="25">MAX(AD27,Z28)</f>
        <v>110</v>
      </c>
      <c r="AE28" s="31">
        <f t="shared" ref="AE28:AE59" si="26">Z28/AD28-1</f>
        <v>-5.8327272727272783E-2</v>
      </c>
      <c r="AF28" s="25">
        <f t="shared" ref="AF28:AF59" si="27">IF(AND(S28&gt;0,AG28&gt;=M28),1,0)</f>
        <v>0</v>
      </c>
      <c r="AG28" s="26">
        <f t="shared" ref="AG28:AG59" si="28">IF(S28&gt;0,IF(AND(Sell_To_Fund=1,D28&gt;Liquidation_Slippage),MIN(M28,S28/(D28-Liquidation_Slippage)),M28),0)</f>
        <v>0</v>
      </c>
      <c r="AH28" s="26">
        <f t="shared" ref="AH28:AH59" si="29">IF(G28=0,0,IF(S28&gt;0,IF(AG28&lt;M28,M28-AG28,0),M28))</f>
        <v>173.934</v>
      </c>
      <c r="AI28" s="25">
        <f t="shared" ref="AI28:AI59" si="30">IF(AND(S28&gt;0,AG28&lt;M28),1,0)</f>
        <v>0</v>
      </c>
    </row>
    <row r="29" spans="1:35" x14ac:dyDescent="0.35">
      <c r="A29" s="25">
        <v>2</v>
      </c>
      <c r="B29" s="26" t="str">
        <f t="shared" si="0"/>
        <v>Quarter 2</v>
      </c>
      <c r="C29" s="27">
        <f>Case2B_Ruin_ChangingRates!C29</f>
        <v>91.52</v>
      </c>
      <c r="D29" s="28">
        <f>Case2B_Ruin_ChangingRates!D29</f>
        <v>0.36</v>
      </c>
      <c r="E29" s="28">
        <f>Case2B_Ruin_ChangingRates!E29</f>
        <v>0.09</v>
      </c>
      <c r="F29" s="29">
        <f t="shared" si="3"/>
        <v>-5.288212770361167E-2</v>
      </c>
      <c r="G29" s="25">
        <f t="shared" si="4"/>
        <v>1</v>
      </c>
      <c r="H29" s="26">
        <f t="shared" si="5"/>
        <v>173.934</v>
      </c>
      <c r="I29" s="26">
        <f t="shared" si="6"/>
        <v>-9.1979999999999915</v>
      </c>
      <c r="J29" s="26">
        <f t="shared" si="7"/>
        <v>1.304505</v>
      </c>
      <c r="K29" s="26">
        <f t="shared" si="8"/>
        <v>1.8078750000000001</v>
      </c>
      <c r="L29" s="26">
        <f t="shared" si="9"/>
        <v>-9.7013699999999918</v>
      </c>
      <c r="M29" s="26">
        <f t="shared" si="10"/>
        <v>164.73600000000002</v>
      </c>
      <c r="N29" s="26">
        <f t="shared" si="11"/>
        <v>80.853369999999998</v>
      </c>
      <c r="O29" s="26">
        <f t="shared" si="12"/>
        <v>83.88263000000002</v>
      </c>
      <c r="P29" s="26">
        <f t="shared" si="13"/>
        <v>59.304960000000001</v>
      </c>
      <c r="Q29" s="26">
        <f t="shared" si="14"/>
        <v>0</v>
      </c>
      <c r="R29" s="26">
        <f t="shared" si="15"/>
        <v>0</v>
      </c>
      <c r="S29" s="26">
        <f t="shared" si="16"/>
        <v>0</v>
      </c>
      <c r="T29" s="26">
        <f t="shared" si="17"/>
        <v>0</v>
      </c>
      <c r="U29" s="26">
        <f t="shared" si="18"/>
        <v>83.88263000000002</v>
      </c>
      <c r="V29" s="26">
        <f t="shared" si="19"/>
        <v>80.853369999999998</v>
      </c>
      <c r="W29" s="26">
        <f t="shared" si="20"/>
        <v>10</v>
      </c>
      <c r="X29" s="25">
        <f t="shared" si="21"/>
        <v>1</v>
      </c>
      <c r="Y29" s="26" t="str">
        <f t="shared" si="22"/>
        <v>OK</v>
      </c>
      <c r="Z29" s="26">
        <f t="shared" si="1"/>
        <v>93.88263000000002</v>
      </c>
      <c r="AA29" s="26">
        <f t="shared" si="23"/>
        <v>164.73600000000002</v>
      </c>
      <c r="AB29" s="26">
        <f t="shared" si="24"/>
        <v>80.853369999999998</v>
      </c>
      <c r="AC29" s="26">
        <f t="shared" si="2"/>
        <v>93.88263000000002</v>
      </c>
      <c r="AD29" s="26">
        <f t="shared" si="25"/>
        <v>110</v>
      </c>
      <c r="AE29" s="31">
        <f t="shared" si="26"/>
        <v>-0.14652154545454532</v>
      </c>
      <c r="AF29" s="25">
        <f t="shared" si="27"/>
        <v>0</v>
      </c>
      <c r="AG29" s="26">
        <f t="shared" si="28"/>
        <v>0</v>
      </c>
      <c r="AH29" s="26">
        <f t="shared" si="29"/>
        <v>164.73600000000002</v>
      </c>
      <c r="AI29" s="25">
        <f t="shared" si="30"/>
        <v>0</v>
      </c>
    </row>
    <row r="30" spans="1:35" x14ac:dyDescent="0.35">
      <c r="A30" s="25">
        <v>3</v>
      </c>
      <c r="B30" s="26" t="str">
        <f t="shared" si="0"/>
        <v>Quarter 3</v>
      </c>
      <c r="C30" s="27">
        <f>Case2B_Ruin_ChangingRates!C30</f>
        <v>87.39</v>
      </c>
      <c r="D30" s="28">
        <f>Case2B_Ruin_ChangingRates!D30</f>
        <v>0.36880000000000002</v>
      </c>
      <c r="E30" s="28">
        <f>Case2B_Ruin_ChangingRates!E30</f>
        <v>9.1499999999999998E-2</v>
      </c>
      <c r="F30" s="29">
        <f t="shared" si="3"/>
        <v>-4.5126748251748228E-2</v>
      </c>
      <c r="G30" s="25">
        <f t="shared" si="4"/>
        <v>1</v>
      </c>
      <c r="H30" s="26">
        <f t="shared" si="5"/>
        <v>164.73600000000002</v>
      </c>
      <c r="I30" s="26">
        <f t="shared" si="6"/>
        <v>-7.4339999999999966</v>
      </c>
      <c r="J30" s="26">
        <f t="shared" si="7"/>
        <v>1.2355200000000002</v>
      </c>
      <c r="K30" s="26">
        <f t="shared" si="8"/>
        <v>1.84952083875</v>
      </c>
      <c r="L30" s="26">
        <f t="shared" si="9"/>
        <v>-8.0480008387499957</v>
      </c>
      <c r="M30" s="26">
        <f t="shared" si="10"/>
        <v>157.30200000000002</v>
      </c>
      <c r="N30" s="26">
        <f t="shared" si="11"/>
        <v>81.46737083875</v>
      </c>
      <c r="O30" s="26">
        <f t="shared" si="12"/>
        <v>75.834629161250021</v>
      </c>
      <c r="P30" s="26">
        <f t="shared" si="13"/>
        <v>58.012977600000013</v>
      </c>
      <c r="Q30" s="26">
        <f t="shared" si="14"/>
        <v>0</v>
      </c>
      <c r="R30" s="26">
        <f t="shared" si="15"/>
        <v>0</v>
      </c>
      <c r="S30" s="26">
        <f t="shared" si="16"/>
        <v>0</v>
      </c>
      <c r="T30" s="26">
        <f t="shared" si="17"/>
        <v>0</v>
      </c>
      <c r="U30" s="26">
        <f t="shared" si="18"/>
        <v>75.834629161250021</v>
      </c>
      <c r="V30" s="26">
        <f t="shared" si="19"/>
        <v>81.46737083875</v>
      </c>
      <c r="W30" s="26">
        <f t="shared" si="20"/>
        <v>10</v>
      </c>
      <c r="X30" s="25">
        <f t="shared" si="21"/>
        <v>1</v>
      </c>
      <c r="Y30" s="26" t="str">
        <f t="shared" si="22"/>
        <v>OK</v>
      </c>
      <c r="Z30" s="26">
        <f t="shared" si="1"/>
        <v>85.834629161250021</v>
      </c>
      <c r="AA30" s="26">
        <f t="shared" si="23"/>
        <v>157.30200000000002</v>
      </c>
      <c r="AB30" s="26">
        <f t="shared" si="24"/>
        <v>81.46737083875</v>
      </c>
      <c r="AC30" s="26">
        <f t="shared" si="2"/>
        <v>85.834629161250021</v>
      </c>
      <c r="AD30" s="26">
        <f t="shared" si="25"/>
        <v>110</v>
      </c>
      <c r="AE30" s="31">
        <f t="shared" si="26"/>
        <v>-0.21968518944318161</v>
      </c>
      <c r="AF30" s="25">
        <f t="shared" si="27"/>
        <v>0</v>
      </c>
      <c r="AG30" s="26">
        <f t="shared" si="28"/>
        <v>0</v>
      </c>
      <c r="AH30" s="26">
        <f t="shared" si="29"/>
        <v>157.30200000000002</v>
      </c>
      <c r="AI30" s="25">
        <f t="shared" si="30"/>
        <v>0</v>
      </c>
    </row>
    <row r="31" spans="1:35" x14ac:dyDescent="0.35">
      <c r="A31" s="25">
        <v>4</v>
      </c>
      <c r="B31" s="26" t="str">
        <f t="shared" si="0"/>
        <v>Quarter 4</v>
      </c>
      <c r="C31" s="27">
        <f>Case2B_Ruin_ChangingRates!C31</f>
        <v>81.5</v>
      </c>
      <c r="D31" s="28">
        <f>Case2B_Ruin_ChangingRates!D31</f>
        <v>0.39</v>
      </c>
      <c r="E31" s="28">
        <f>Case2B_Ruin_ChangingRates!E31</f>
        <v>9.5000000000000001E-2</v>
      </c>
      <c r="F31" s="29">
        <f t="shared" si="3"/>
        <v>-6.7399015905710069E-2</v>
      </c>
      <c r="G31" s="25">
        <f t="shared" si="4"/>
        <v>1</v>
      </c>
      <c r="H31" s="26">
        <f t="shared" si="5"/>
        <v>157.30200000000002</v>
      </c>
      <c r="I31" s="26">
        <f t="shared" si="6"/>
        <v>-10.602000000000007</v>
      </c>
      <c r="J31" s="26">
        <f t="shared" si="7"/>
        <v>1.1797650000000002</v>
      </c>
      <c r="K31" s="26">
        <f t="shared" si="8"/>
        <v>1.9348500574203125</v>
      </c>
      <c r="L31" s="26">
        <f t="shared" si="9"/>
        <v>-11.357085057420321</v>
      </c>
      <c r="M31" s="26">
        <f t="shared" si="10"/>
        <v>146.70000000000002</v>
      </c>
      <c r="N31" s="26">
        <f t="shared" si="11"/>
        <v>82.222455896170302</v>
      </c>
      <c r="O31" s="26">
        <f t="shared" si="12"/>
        <v>64.477544103829715</v>
      </c>
      <c r="P31" s="26">
        <f t="shared" si="13"/>
        <v>57.213000000000008</v>
      </c>
      <c r="Q31" s="26">
        <f t="shared" si="14"/>
        <v>0</v>
      </c>
      <c r="R31" s="26">
        <f t="shared" si="15"/>
        <v>0</v>
      </c>
      <c r="S31" s="26">
        <f t="shared" si="16"/>
        <v>0</v>
      </c>
      <c r="T31" s="26">
        <f t="shared" si="17"/>
        <v>0</v>
      </c>
      <c r="U31" s="26">
        <f t="shared" si="18"/>
        <v>64.477544103829715</v>
      </c>
      <c r="V31" s="26">
        <f t="shared" si="19"/>
        <v>82.222455896170302</v>
      </c>
      <c r="W31" s="26">
        <f t="shared" si="20"/>
        <v>10</v>
      </c>
      <c r="X31" s="25">
        <f t="shared" si="21"/>
        <v>1</v>
      </c>
      <c r="Y31" s="26" t="str">
        <f t="shared" si="22"/>
        <v>OK</v>
      </c>
      <c r="Z31" s="26">
        <f t="shared" si="1"/>
        <v>74.477544103829715</v>
      </c>
      <c r="AA31" s="26">
        <f t="shared" si="23"/>
        <v>146.70000000000002</v>
      </c>
      <c r="AB31" s="26">
        <f t="shared" si="24"/>
        <v>82.222455896170302</v>
      </c>
      <c r="AC31" s="26">
        <f t="shared" si="2"/>
        <v>74.477544103829715</v>
      </c>
      <c r="AD31" s="26">
        <f t="shared" si="25"/>
        <v>110</v>
      </c>
      <c r="AE31" s="31">
        <f t="shared" si="26"/>
        <v>-0.32293141723791163</v>
      </c>
      <c r="AF31" s="25">
        <f t="shared" si="27"/>
        <v>0</v>
      </c>
      <c r="AG31" s="26">
        <f t="shared" si="28"/>
        <v>0</v>
      </c>
      <c r="AH31" s="26">
        <f t="shared" si="29"/>
        <v>146.70000000000002</v>
      </c>
      <c r="AI31" s="25">
        <f t="shared" si="30"/>
        <v>0</v>
      </c>
    </row>
    <row r="32" spans="1:35" x14ac:dyDescent="0.35">
      <c r="A32" s="25">
        <v>5</v>
      </c>
      <c r="B32" s="26" t="str">
        <f t="shared" si="0"/>
        <v>Quarter 5</v>
      </c>
      <c r="C32" s="27">
        <f>Case2B_Ruin_ChangingRates!C32</f>
        <v>76.150000000000006</v>
      </c>
      <c r="D32" s="28">
        <f>Case2B_Ruin_ChangingRates!D32</f>
        <v>0.41120000000000001</v>
      </c>
      <c r="E32" s="28">
        <f>Case2B_Ruin_ChangingRates!E32</f>
        <v>9.8500000000000004E-2</v>
      </c>
      <c r="F32" s="29">
        <f t="shared" si="3"/>
        <v>-6.5644171779141058E-2</v>
      </c>
      <c r="G32" s="25">
        <f t="shared" si="4"/>
        <v>1</v>
      </c>
      <c r="H32" s="26">
        <f t="shared" si="5"/>
        <v>146.70000000000002</v>
      </c>
      <c r="I32" s="26">
        <f t="shared" si="6"/>
        <v>-9.6299999999999937</v>
      </c>
      <c r="J32" s="26">
        <f t="shared" si="7"/>
        <v>1.1002500000000002</v>
      </c>
      <c r="K32" s="26">
        <f t="shared" si="8"/>
        <v>2.0247279764431938</v>
      </c>
      <c r="L32" s="26">
        <f t="shared" si="9"/>
        <v>-10.554477976443186</v>
      </c>
      <c r="M32" s="26">
        <f t="shared" si="10"/>
        <v>137.07000000000002</v>
      </c>
      <c r="N32" s="26">
        <f t="shared" si="11"/>
        <v>83.146933872613488</v>
      </c>
      <c r="O32" s="26">
        <f t="shared" si="12"/>
        <v>53.923066127386534</v>
      </c>
      <c r="P32" s="26">
        <f t="shared" si="13"/>
        <v>56.363184000000011</v>
      </c>
      <c r="Q32" s="26">
        <f t="shared" si="14"/>
        <v>2.4401178726134773</v>
      </c>
      <c r="R32" s="26">
        <f t="shared" si="15"/>
        <v>2.4401178726134773</v>
      </c>
      <c r="S32" s="26">
        <f t="shared" si="16"/>
        <v>0</v>
      </c>
      <c r="T32" s="26">
        <f t="shared" si="17"/>
        <v>0</v>
      </c>
      <c r="U32" s="26">
        <f t="shared" si="18"/>
        <v>56.363184000000011</v>
      </c>
      <c r="V32" s="26">
        <f t="shared" si="19"/>
        <v>80.706816000000003</v>
      </c>
      <c r="W32" s="26">
        <f t="shared" si="20"/>
        <v>7.5598821273865227</v>
      </c>
      <c r="X32" s="25">
        <f t="shared" si="21"/>
        <v>1</v>
      </c>
      <c r="Y32" s="26" t="str">
        <f t="shared" si="22"/>
        <v>Margin call met from reserve</v>
      </c>
      <c r="Z32" s="26">
        <f t="shared" si="1"/>
        <v>63.923066127386534</v>
      </c>
      <c r="AA32" s="26">
        <f t="shared" si="23"/>
        <v>137.07000000000002</v>
      </c>
      <c r="AB32" s="26">
        <f t="shared" si="24"/>
        <v>83.146933872613488</v>
      </c>
      <c r="AC32" s="26">
        <f t="shared" si="2"/>
        <v>63.923066127386534</v>
      </c>
      <c r="AD32" s="26">
        <f t="shared" si="25"/>
        <v>110</v>
      </c>
      <c r="AE32" s="31">
        <f t="shared" si="26"/>
        <v>-0.4188812170237588</v>
      </c>
      <c r="AF32" s="25">
        <f t="shared" si="27"/>
        <v>0</v>
      </c>
      <c r="AG32" s="26">
        <f t="shared" si="28"/>
        <v>0</v>
      </c>
      <c r="AH32" s="26">
        <f t="shared" si="29"/>
        <v>137.07000000000002</v>
      </c>
      <c r="AI32" s="25">
        <f t="shared" si="30"/>
        <v>0</v>
      </c>
    </row>
    <row r="33" spans="1:35" x14ac:dyDescent="0.35">
      <c r="A33" s="25">
        <v>6</v>
      </c>
      <c r="B33" s="26" t="str">
        <f t="shared" si="0"/>
        <v>Quarter 6</v>
      </c>
      <c r="C33" s="27">
        <f>Case2B_Ruin_ChangingRates!C33</f>
        <v>74</v>
      </c>
      <c r="D33" s="28">
        <f>Case2B_Ruin_ChangingRates!D33</f>
        <v>0.42</v>
      </c>
      <c r="E33" s="28">
        <f>Case2B_Ruin_ChangingRates!E33</f>
        <v>0.1</v>
      </c>
      <c r="F33" s="29">
        <f t="shared" si="3"/>
        <v>-2.8233749179251588E-2</v>
      </c>
      <c r="G33" s="25">
        <f t="shared" si="4"/>
        <v>1</v>
      </c>
      <c r="H33" s="26">
        <f t="shared" si="5"/>
        <v>137.07000000000002</v>
      </c>
      <c r="I33" s="26">
        <f t="shared" si="6"/>
        <v>-3.8700000000000156</v>
      </c>
      <c r="J33" s="26">
        <f t="shared" si="7"/>
        <v>1.0280250000000002</v>
      </c>
      <c r="K33" s="26">
        <f t="shared" si="8"/>
        <v>2.0176704000000001</v>
      </c>
      <c r="L33" s="26">
        <f t="shared" si="9"/>
        <v>-4.8596454000000158</v>
      </c>
      <c r="M33" s="26">
        <f t="shared" si="10"/>
        <v>133.20000000000002</v>
      </c>
      <c r="N33" s="26">
        <f t="shared" si="11"/>
        <v>81.696461400000004</v>
      </c>
      <c r="O33" s="26">
        <f t="shared" si="12"/>
        <v>51.503538600000013</v>
      </c>
      <c r="P33" s="26">
        <f t="shared" si="13"/>
        <v>55.944000000000003</v>
      </c>
      <c r="Q33" s="26">
        <f t="shared" si="14"/>
        <v>4.4404613999999896</v>
      </c>
      <c r="R33" s="26">
        <f t="shared" si="15"/>
        <v>4.4404613999999896</v>
      </c>
      <c r="S33" s="26">
        <f t="shared" si="16"/>
        <v>0</v>
      </c>
      <c r="T33" s="26">
        <f t="shared" si="17"/>
        <v>0</v>
      </c>
      <c r="U33" s="26">
        <f t="shared" si="18"/>
        <v>55.944000000000003</v>
      </c>
      <c r="V33" s="26">
        <f t="shared" si="19"/>
        <v>77.256000000000014</v>
      </c>
      <c r="W33" s="26">
        <f t="shared" si="20"/>
        <v>3.1194207273865331</v>
      </c>
      <c r="X33" s="25">
        <f t="shared" si="21"/>
        <v>1</v>
      </c>
      <c r="Y33" s="26" t="str">
        <f t="shared" si="22"/>
        <v>Margin call met from reserve</v>
      </c>
      <c r="Z33" s="26">
        <f t="shared" si="1"/>
        <v>59.063420727386536</v>
      </c>
      <c r="AA33" s="26">
        <f t="shared" si="23"/>
        <v>133.20000000000002</v>
      </c>
      <c r="AB33" s="26">
        <f t="shared" si="24"/>
        <v>84.197582219428824</v>
      </c>
      <c r="AC33" s="26">
        <f t="shared" si="2"/>
        <v>59.002417780571193</v>
      </c>
      <c r="AD33" s="26">
        <f t="shared" si="25"/>
        <v>110</v>
      </c>
      <c r="AE33" s="31">
        <f t="shared" si="26"/>
        <v>-0.46305981156921328</v>
      </c>
      <c r="AF33" s="25">
        <f t="shared" si="27"/>
        <v>0</v>
      </c>
      <c r="AG33" s="26">
        <f t="shared" si="28"/>
        <v>0</v>
      </c>
      <c r="AH33" s="26">
        <f t="shared" si="29"/>
        <v>133.20000000000002</v>
      </c>
      <c r="AI33" s="25">
        <f t="shared" si="30"/>
        <v>0</v>
      </c>
    </row>
    <row r="34" spans="1:35" x14ac:dyDescent="0.35">
      <c r="A34" s="25">
        <v>7</v>
      </c>
      <c r="B34" s="26" t="str">
        <f t="shared" si="0"/>
        <v>Quarter 7</v>
      </c>
      <c r="C34" s="27">
        <f>Case2B_Ruin_ChangingRates!C34</f>
        <v>75.319999999999993</v>
      </c>
      <c r="D34" s="28">
        <f>Case2B_Ruin_ChangingRates!D34</f>
        <v>0.42</v>
      </c>
      <c r="E34" s="28">
        <f>Case2B_Ruin_ChangingRates!E34</f>
        <v>0.1</v>
      </c>
      <c r="F34" s="29">
        <f t="shared" si="3"/>
        <v>1.7837837837837656E-2</v>
      </c>
      <c r="G34" s="25">
        <f t="shared" si="4"/>
        <v>1</v>
      </c>
      <c r="H34" s="26">
        <f t="shared" si="5"/>
        <v>133.20000000000002</v>
      </c>
      <c r="I34" s="26">
        <f t="shared" si="6"/>
        <v>2.3759999999999759</v>
      </c>
      <c r="J34" s="26">
        <f t="shared" si="7"/>
        <v>0.99900000000000011</v>
      </c>
      <c r="K34" s="26">
        <f t="shared" si="8"/>
        <v>1.9314000000000004</v>
      </c>
      <c r="L34" s="26">
        <f t="shared" si="9"/>
        <v>1.4435999999999756</v>
      </c>
      <c r="M34" s="26">
        <f t="shared" si="10"/>
        <v>135.57599999999999</v>
      </c>
      <c r="N34" s="26">
        <f t="shared" si="11"/>
        <v>78.188400000000016</v>
      </c>
      <c r="O34" s="26">
        <f t="shared" si="12"/>
        <v>57.387599999999978</v>
      </c>
      <c r="P34" s="26">
        <f t="shared" si="13"/>
        <v>56.941919999999996</v>
      </c>
      <c r="Q34" s="26">
        <f t="shared" si="14"/>
        <v>0</v>
      </c>
      <c r="R34" s="26">
        <f t="shared" si="15"/>
        <v>0</v>
      </c>
      <c r="S34" s="26">
        <f t="shared" si="16"/>
        <v>0</v>
      </c>
      <c r="T34" s="26">
        <f t="shared" si="17"/>
        <v>0</v>
      </c>
      <c r="U34" s="26">
        <f t="shared" si="18"/>
        <v>57.387599999999978</v>
      </c>
      <c r="V34" s="26">
        <f t="shared" si="19"/>
        <v>78.188400000000016</v>
      </c>
      <c r="W34" s="26">
        <f t="shared" si="20"/>
        <v>3.1194207273865331</v>
      </c>
      <c r="X34" s="25">
        <f t="shared" si="21"/>
        <v>1</v>
      </c>
      <c r="Y34" s="26" t="str">
        <f t="shared" si="22"/>
        <v>OK</v>
      </c>
      <c r="Z34" s="26">
        <f t="shared" si="1"/>
        <v>60.507020727386511</v>
      </c>
      <c r="AA34" s="26">
        <f t="shared" si="23"/>
        <v>135.57599999999999</v>
      </c>
      <c r="AB34" s="26">
        <f t="shared" si="24"/>
        <v>85.303521774914543</v>
      </c>
      <c r="AC34" s="26">
        <f t="shared" si="2"/>
        <v>60.27247822508545</v>
      </c>
      <c r="AD34" s="26">
        <f t="shared" si="25"/>
        <v>110</v>
      </c>
      <c r="AE34" s="31">
        <f t="shared" si="26"/>
        <v>-0.44993617520557716</v>
      </c>
      <c r="AF34" s="25">
        <f t="shared" si="27"/>
        <v>0</v>
      </c>
      <c r="AG34" s="26">
        <f t="shared" si="28"/>
        <v>0</v>
      </c>
      <c r="AH34" s="26">
        <f t="shared" si="29"/>
        <v>135.57599999999999</v>
      </c>
      <c r="AI34" s="25">
        <f t="shared" si="30"/>
        <v>0</v>
      </c>
    </row>
    <row r="35" spans="1:35" x14ac:dyDescent="0.35">
      <c r="A35" s="25">
        <v>8</v>
      </c>
      <c r="B35" s="26" t="str">
        <f t="shared" si="0"/>
        <v>Quarter 8</v>
      </c>
      <c r="C35" s="27">
        <f>Case2B_Ruin_ChangingRates!C35</f>
        <v>82.44</v>
      </c>
      <c r="D35" s="28">
        <f>Case2B_Ruin_ChangingRates!D35</f>
        <v>0.42</v>
      </c>
      <c r="E35" s="28">
        <f>Case2B_Ruin_ChangingRates!E35</f>
        <v>0.1</v>
      </c>
      <c r="F35" s="29">
        <f t="shared" si="3"/>
        <v>9.453000531067457E-2</v>
      </c>
      <c r="G35" s="25">
        <f t="shared" si="4"/>
        <v>1</v>
      </c>
      <c r="H35" s="26">
        <f t="shared" si="5"/>
        <v>135.57599999999999</v>
      </c>
      <c r="I35" s="26">
        <f t="shared" si="6"/>
        <v>12.816000000000015</v>
      </c>
      <c r="J35" s="26">
        <f t="shared" si="7"/>
        <v>1.0168199999999998</v>
      </c>
      <c r="K35" s="26">
        <f t="shared" si="8"/>
        <v>1.9547100000000004</v>
      </c>
      <c r="L35" s="26">
        <f t="shared" si="9"/>
        <v>11.878110000000014</v>
      </c>
      <c r="M35" s="26">
        <f t="shared" si="10"/>
        <v>148.392</v>
      </c>
      <c r="N35" s="26">
        <f t="shared" si="11"/>
        <v>79.126290000000026</v>
      </c>
      <c r="O35" s="26">
        <f t="shared" si="12"/>
        <v>69.26570999999997</v>
      </c>
      <c r="P35" s="26">
        <f t="shared" si="13"/>
        <v>62.324639999999995</v>
      </c>
      <c r="Q35" s="26">
        <f t="shared" si="14"/>
        <v>0</v>
      </c>
      <c r="R35" s="26">
        <f t="shared" si="15"/>
        <v>0</v>
      </c>
      <c r="S35" s="26">
        <f t="shared" si="16"/>
        <v>0</v>
      </c>
      <c r="T35" s="26">
        <f t="shared" si="17"/>
        <v>0</v>
      </c>
      <c r="U35" s="26">
        <f t="shared" si="18"/>
        <v>69.26570999999997</v>
      </c>
      <c r="V35" s="26">
        <f t="shared" si="19"/>
        <v>79.126290000000026</v>
      </c>
      <c r="W35" s="26">
        <f t="shared" si="20"/>
        <v>3.1194207273865331</v>
      </c>
      <c r="X35" s="25">
        <f t="shared" si="21"/>
        <v>1</v>
      </c>
      <c r="Y35" s="26" t="str">
        <f t="shared" si="22"/>
        <v>OK</v>
      </c>
      <c r="Z35" s="26">
        <f t="shared" si="1"/>
        <v>72.385130727386496</v>
      </c>
      <c r="AA35" s="26">
        <f t="shared" si="23"/>
        <v>148.392</v>
      </c>
      <c r="AB35" s="26">
        <f t="shared" si="24"/>
        <v>86.4192898192874</v>
      </c>
      <c r="AC35" s="26">
        <f t="shared" si="2"/>
        <v>71.972710180712596</v>
      </c>
      <c r="AD35" s="26">
        <f t="shared" si="25"/>
        <v>110</v>
      </c>
      <c r="AE35" s="31">
        <f t="shared" si="26"/>
        <v>-0.34195335702375917</v>
      </c>
      <c r="AF35" s="25">
        <f t="shared" si="27"/>
        <v>0</v>
      </c>
      <c r="AG35" s="26">
        <f t="shared" si="28"/>
        <v>0</v>
      </c>
      <c r="AH35" s="26">
        <f t="shared" si="29"/>
        <v>148.392</v>
      </c>
      <c r="AI35" s="25">
        <f t="shared" si="30"/>
        <v>0</v>
      </c>
    </row>
    <row r="36" spans="1:35" x14ac:dyDescent="0.35">
      <c r="A36" s="25">
        <v>9</v>
      </c>
      <c r="B36" s="26" t="str">
        <f t="shared" si="0"/>
        <v>Quarter 9</v>
      </c>
      <c r="C36" s="27">
        <f>Case2B_Ruin_ChangingRates!C36</f>
        <v>88.03</v>
      </c>
      <c r="D36" s="28">
        <f>Case2B_Ruin_ChangingRates!D36</f>
        <v>0.42</v>
      </c>
      <c r="E36" s="28">
        <f>Case2B_Ruin_ChangingRates!E36</f>
        <v>0.1</v>
      </c>
      <c r="F36" s="29">
        <f t="shared" si="3"/>
        <v>6.7806889859291619E-2</v>
      </c>
      <c r="G36" s="25">
        <f t="shared" si="4"/>
        <v>1</v>
      </c>
      <c r="H36" s="26">
        <f t="shared" si="5"/>
        <v>148.392</v>
      </c>
      <c r="I36" s="26">
        <f t="shared" si="6"/>
        <v>10.062000000000001</v>
      </c>
      <c r="J36" s="26">
        <f t="shared" si="7"/>
        <v>1.1129399999999998</v>
      </c>
      <c r="K36" s="26">
        <f t="shared" si="8"/>
        <v>1.9781572500000006</v>
      </c>
      <c r="L36" s="26">
        <f t="shared" si="9"/>
        <v>9.1967827500000006</v>
      </c>
      <c r="M36" s="26">
        <f t="shared" si="10"/>
        <v>158.45400000000001</v>
      </c>
      <c r="N36" s="26">
        <f t="shared" si="11"/>
        <v>79.991507250000026</v>
      </c>
      <c r="O36" s="26">
        <f t="shared" si="12"/>
        <v>78.462492749999981</v>
      </c>
      <c r="P36" s="26">
        <f t="shared" si="13"/>
        <v>66.55068</v>
      </c>
      <c r="Q36" s="26">
        <f t="shared" si="14"/>
        <v>0</v>
      </c>
      <c r="R36" s="26">
        <f t="shared" si="15"/>
        <v>0</v>
      </c>
      <c r="S36" s="26">
        <f t="shared" si="16"/>
        <v>0</v>
      </c>
      <c r="T36" s="26">
        <f t="shared" si="17"/>
        <v>0</v>
      </c>
      <c r="U36" s="26">
        <f t="shared" si="18"/>
        <v>78.462492749999981</v>
      </c>
      <c r="V36" s="26">
        <f t="shared" si="19"/>
        <v>79.991507250000026</v>
      </c>
      <c r="W36" s="26">
        <f t="shared" si="20"/>
        <v>3.1194207273865331</v>
      </c>
      <c r="X36" s="25">
        <f t="shared" si="21"/>
        <v>1</v>
      </c>
      <c r="Y36" s="26" t="str">
        <f t="shared" si="22"/>
        <v>OK</v>
      </c>
      <c r="Z36" s="26">
        <f t="shared" si="1"/>
        <v>81.581913477386507</v>
      </c>
      <c r="AA36" s="26">
        <f t="shared" si="23"/>
        <v>158.45400000000001</v>
      </c>
      <c r="AB36" s="26">
        <f t="shared" si="24"/>
        <v>87.466832064769577</v>
      </c>
      <c r="AC36" s="26">
        <f t="shared" si="2"/>
        <v>80.987167935230431</v>
      </c>
      <c r="AD36" s="26">
        <f t="shared" si="25"/>
        <v>110</v>
      </c>
      <c r="AE36" s="31">
        <f t="shared" si="26"/>
        <v>-0.25834624111466808</v>
      </c>
      <c r="AF36" s="25">
        <f t="shared" si="27"/>
        <v>0</v>
      </c>
      <c r="AG36" s="26">
        <f t="shared" si="28"/>
        <v>0</v>
      </c>
      <c r="AH36" s="26">
        <f t="shared" si="29"/>
        <v>158.45400000000001</v>
      </c>
      <c r="AI36" s="25">
        <f t="shared" si="30"/>
        <v>0</v>
      </c>
    </row>
    <row r="37" spans="1:35" x14ac:dyDescent="0.35">
      <c r="A37" s="25">
        <v>10</v>
      </c>
      <c r="B37" s="26" t="str">
        <f t="shared" si="0"/>
        <v>Quarter 10</v>
      </c>
      <c r="C37" s="27">
        <f>Case2B_Ruin_ChangingRates!C37</f>
        <v>100.12</v>
      </c>
      <c r="D37" s="28">
        <f>Case2B_Ruin_ChangingRates!D37</f>
        <v>0.39250000000000002</v>
      </c>
      <c r="E37" s="28">
        <f>Case2B_Ruin_ChangingRates!E37</f>
        <v>9.6299999999999997E-2</v>
      </c>
      <c r="F37" s="29">
        <f t="shared" si="3"/>
        <v>0.13733954333749865</v>
      </c>
      <c r="G37" s="25">
        <f t="shared" si="4"/>
        <v>1</v>
      </c>
      <c r="H37" s="26">
        <f t="shared" si="5"/>
        <v>158.45400000000001</v>
      </c>
      <c r="I37" s="26">
        <f t="shared" si="6"/>
        <v>21.762000000000011</v>
      </c>
      <c r="J37" s="26">
        <f t="shared" si="7"/>
        <v>1.1884049999999999</v>
      </c>
      <c r="K37" s="26">
        <f t="shared" si="8"/>
        <v>1.9257955370437505</v>
      </c>
      <c r="L37" s="26">
        <f t="shared" si="9"/>
        <v>21.02460946295626</v>
      </c>
      <c r="M37" s="26">
        <f t="shared" si="10"/>
        <v>180.21600000000001</v>
      </c>
      <c r="N37" s="26">
        <f t="shared" si="11"/>
        <v>80.728897787043778</v>
      </c>
      <c r="O37" s="26">
        <f t="shared" si="12"/>
        <v>99.487102212956231</v>
      </c>
      <c r="P37" s="26">
        <f t="shared" si="13"/>
        <v>70.734780000000001</v>
      </c>
      <c r="Q37" s="26">
        <f t="shared" si="14"/>
        <v>0</v>
      </c>
      <c r="R37" s="26">
        <f t="shared" si="15"/>
        <v>0</v>
      </c>
      <c r="S37" s="26">
        <f t="shared" si="16"/>
        <v>0</v>
      </c>
      <c r="T37" s="26">
        <f t="shared" si="17"/>
        <v>0</v>
      </c>
      <c r="U37" s="26">
        <f t="shared" si="18"/>
        <v>99.487102212956231</v>
      </c>
      <c r="V37" s="26">
        <f t="shared" si="19"/>
        <v>80.728897787043778</v>
      </c>
      <c r="W37" s="26">
        <f t="shared" si="20"/>
        <v>3.1194207273865331</v>
      </c>
      <c r="X37" s="25">
        <f t="shared" si="21"/>
        <v>1</v>
      </c>
      <c r="Y37" s="26" t="str">
        <f t="shared" si="22"/>
        <v>OK</v>
      </c>
      <c r="Z37" s="26">
        <f t="shared" si="1"/>
        <v>102.60652294034276</v>
      </c>
      <c r="AA37" s="26">
        <f t="shared" si="23"/>
        <v>180.21600000000001</v>
      </c>
      <c r="AB37" s="26">
        <f t="shared" si="24"/>
        <v>88.384191046728901</v>
      </c>
      <c r="AC37" s="26">
        <f t="shared" si="2"/>
        <v>101.83180895327111</v>
      </c>
      <c r="AD37" s="26">
        <f t="shared" si="25"/>
        <v>110</v>
      </c>
      <c r="AE37" s="31">
        <f t="shared" si="26"/>
        <v>-6.7213427815065896E-2</v>
      </c>
      <c r="AF37" s="25">
        <f t="shared" si="27"/>
        <v>0</v>
      </c>
      <c r="AG37" s="26">
        <f t="shared" si="28"/>
        <v>0</v>
      </c>
      <c r="AH37" s="26">
        <f t="shared" si="29"/>
        <v>180.21600000000001</v>
      </c>
      <c r="AI37" s="25">
        <f t="shared" si="30"/>
        <v>0</v>
      </c>
    </row>
    <row r="38" spans="1:35" x14ac:dyDescent="0.35">
      <c r="A38" s="25">
        <v>11</v>
      </c>
      <c r="B38" s="26" t="str">
        <f t="shared" si="0"/>
        <v>Quarter 11</v>
      </c>
      <c r="C38" s="27">
        <f>Case2B_Ruin_ChangingRates!C38</f>
        <v>108</v>
      </c>
      <c r="D38" s="28">
        <f>Case2B_Ruin_ChangingRates!D38</f>
        <v>0.33750000000000002</v>
      </c>
      <c r="E38" s="28">
        <f>Case2B_Ruin_ChangingRates!E38</f>
        <v>8.8800000000000004E-2</v>
      </c>
      <c r="F38" s="29">
        <f t="shared" si="3"/>
        <v>7.8705553335996825E-2</v>
      </c>
      <c r="G38" s="25">
        <f t="shared" si="4"/>
        <v>1</v>
      </c>
      <c r="H38" s="26">
        <f t="shared" si="5"/>
        <v>180.21600000000001</v>
      </c>
      <c r="I38" s="26">
        <f t="shared" si="6"/>
        <v>14.184000000000005</v>
      </c>
      <c r="J38" s="26">
        <f t="shared" si="7"/>
        <v>1.35162</v>
      </c>
      <c r="K38" s="26">
        <f t="shared" si="8"/>
        <v>1.7921815308723719</v>
      </c>
      <c r="L38" s="26">
        <f t="shared" si="9"/>
        <v>13.743438469127634</v>
      </c>
      <c r="M38" s="26">
        <f t="shared" si="10"/>
        <v>194.4</v>
      </c>
      <c r="N38" s="26">
        <f t="shared" si="11"/>
        <v>81.16945931791615</v>
      </c>
      <c r="O38" s="26">
        <f t="shared" si="12"/>
        <v>113.23054068208386</v>
      </c>
      <c r="P38" s="26">
        <f t="shared" si="13"/>
        <v>65.61</v>
      </c>
      <c r="Q38" s="26">
        <f t="shared" si="14"/>
        <v>0</v>
      </c>
      <c r="R38" s="26">
        <f t="shared" si="15"/>
        <v>0</v>
      </c>
      <c r="S38" s="26">
        <f t="shared" si="16"/>
        <v>0</v>
      </c>
      <c r="T38" s="26">
        <f t="shared" si="17"/>
        <v>0</v>
      </c>
      <c r="U38" s="26">
        <f t="shared" si="18"/>
        <v>113.23054068208386</v>
      </c>
      <c r="V38" s="26">
        <f t="shared" si="19"/>
        <v>81.16945931791615</v>
      </c>
      <c r="W38" s="26">
        <f t="shared" si="20"/>
        <v>3.1194207273865331</v>
      </c>
      <c r="X38" s="25">
        <f t="shared" si="21"/>
        <v>1</v>
      </c>
      <c r="Y38" s="26" t="str">
        <f t="shared" si="22"/>
        <v>OK</v>
      </c>
      <c r="Z38" s="26">
        <f t="shared" si="1"/>
        <v>116.34996140947038</v>
      </c>
      <c r="AA38" s="26">
        <f t="shared" si="23"/>
        <v>194.4</v>
      </c>
      <c r="AB38" s="26">
        <f t="shared" si="24"/>
        <v>88.99470008796628</v>
      </c>
      <c r="AC38" s="26">
        <f t="shared" si="2"/>
        <v>115.40529991203373</v>
      </c>
      <c r="AD38" s="26">
        <f t="shared" si="25"/>
        <v>116.34996140947038</v>
      </c>
      <c r="AE38" s="31">
        <f t="shared" si="26"/>
        <v>0</v>
      </c>
      <c r="AF38" s="25">
        <f t="shared" si="27"/>
        <v>0</v>
      </c>
      <c r="AG38" s="26">
        <f t="shared" si="28"/>
        <v>0</v>
      </c>
      <c r="AH38" s="26">
        <f t="shared" si="29"/>
        <v>194.4</v>
      </c>
      <c r="AI38" s="25">
        <f t="shared" si="30"/>
        <v>0</v>
      </c>
    </row>
    <row r="39" spans="1:35" x14ac:dyDescent="0.35">
      <c r="A39" s="25">
        <v>12</v>
      </c>
      <c r="B39" s="26" t="str">
        <f t="shared" si="0"/>
        <v>Quarter 12</v>
      </c>
      <c r="C39" s="27">
        <f>Case2B_Ruin_ChangingRates!C39</f>
        <v>113.63</v>
      </c>
      <c r="D39" s="28">
        <f>Case2B_Ruin_ChangingRates!D39</f>
        <v>0.31</v>
      </c>
      <c r="E39" s="28">
        <f>Case2B_Ruin_ChangingRates!E39</f>
        <v>8.5000000000000006E-2</v>
      </c>
      <c r="F39" s="29">
        <f t="shared" si="3"/>
        <v>5.2129629629629637E-2</v>
      </c>
      <c r="G39" s="25">
        <f t="shared" si="4"/>
        <v>1</v>
      </c>
      <c r="H39" s="26">
        <f t="shared" si="5"/>
        <v>194.4</v>
      </c>
      <c r="I39" s="26">
        <f t="shared" si="6"/>
        <v>10.134000000000002</v>
      </c>
      <c r="J39" s="26">
        <f t="shared" si="7"/>
        <v>1.458</v>
      </c>
      <c r="K39" s="26">
        <f t="shared" si="8"/>
        <v>1.7248510105057182</v>
      </c>
      <c r="L39" s="26">
        <f t="shared" si="9"/>
        <v>9.8671489894942841</v>
      </c>
      <c r="M39" s="26">
        <f t="shared" si="10"/>
        <v>204.53400000000002</v>
      </c>
      <c r="N39" s="26">
        <f t="shared" si="11"/>
        <v>81.436310328421868</v>
      </c>
      <c r="O39" s="26">
        <f t="shared" si="12"/>
        <v>123.09768967157815</v>
      </c>
      <c r="P39" s="26">
        <f t="shared" si="13"/>
        <v>63.405540000000009</v>
      </c>
      <c r="Q39" s="26">
        <f t="shared" si="14"/>
        <v>0</v>
      </c>
      <c r="R39" s="26">
        <f t="shared" si="15"/>
        <v>0</v>
      </c>
      <c r="S39" s="26">
        <f t="shared" si="16"/>
        <v>0</v>
      </c>
      <c r="T39" s="26">
        <f t="shared" si="17"/>
        <v>0</v>
      </c>
      <c r="U39" s="26">
        <f t="shared" si="18"/>
        <v>123.09768967157815</v>
      </c>
      <c r="V39" s="26">
        <f t="shared" si="19"/>
        <v>81.436310328421868</v>
      </c>
      <c r="W39" s="26">
        <f t="shared" si="20"/>
        <v>3.1194207273865331</v>
      </c>
      <c r="X39" s="25">
        <f t="shared" si="21"/>
        <v>1</v>
      </c>
      <c r="Y39" s="26" t="str">
        <f t="shared" si="22"/>
        <v>OK</v>
      </c>
      <c r="Z39" s="26">
        <f t="shared" si="1"/>
        <v>126.21711039896468</v>
      </c>
      <c r="AA39" s="26">
        <f t="shared" si="23"/>
        <v>204.53400000000002</v>
      </c>
      <c r="AB39" s="26">
        <f t="shared" si="24"/>
        <v>89.427837464835562</v>
      </c>
      <c r="AC39" s="26">
        <f t="shared" si="2"/>
        <v>125.10616253516446</v>
      </c>
      <c r="AD39" s="26">
        <f t="shared" si="25"/>
        <v>126.21711039896468</v>
      </c>
      <c r="AE39" s="31">
        <f t="shared" si="26"/>
        <v>0</v>
      </c>
      <c r="AF39" s="25">
        <f t="shared" si="27"/>
        <v>0</v>
      </c>
      <c r="AG39" s="26">
        <f t="shared" si="28"/>
        <v>0</v>
      </c>
      <c r="AH39" s="26">
        <f t="shared" si="29"/>
        <v>204.53400000000002</v>
      </c>
      <c r="AI39" s="25">
        <f t="shared" si="30"/>
        <v>0</v>
      </c>
    </row>
    <row r="40" spans="1:35" x14ac:dyDescent="0.35">
      <c r="A40" s="25">
        <v>13</v>
      </c>
      <c r="B40" s="26" t="str">
        <f t="shared" si="0"/>
        <v>Quarter 13</v>
      </c>
      <c r="C40" s="27">
        <f>Case2B_Ruin_ChangingRates!C40</f>
        <v>115</v>
      </c>
      <c r="D40" s="28">
        <f>Case2B_Ruin_ChangingRates!D40</f>
        <v>0.30499999999999999</v>
      </c>
      <c r="E40" s="28">
        <f>Case2B_Ruin_ChangingRates!E40</f>
        <v>8.4000000000000005E-2</v>
      </c>
      <c r="F40" s="29">
        <f t="shared" si="3"/>
        <v>1.2056675173809817E-2</v>
      </c>
      <c r="G40" s="25">
        <f t="shared" si="4"/>
        <v>1</v>
      </c>
      <c r="H40" s="26">
        <f t="shared" si="5"/>
        <v>204.53400000000002</v>
      </c>
      <c r="I40" s="26">
        <f t="shared" si="6"/>
        <v>2.4660000000000171</v>
      </c>
      <c r="J40" s="26">
        <f t="shared" si="7"/>
        <v>1.5340050000000001</v>
      </c>
      <c r="K40" s="26">
        <f t="shared" si="8"/>
        <v>1.7101625168968593</v>
      </c>
      <c r="L40" s="26">
        <f t="shared" si="9"/>
        <v>2.2898424831031585</v>
      </c>
      <c r="M40" s="26">
        <f t="shared" si="10"/>
        <v>207.00000000000003</v>
      </c>
      <c r="N40" s="26">
        <f t="shared" si="11"/>
        <v>81.612467845318733</v>
      </c>
      <c r="O40" s="26">
        <f t="shared" si="12"/>
        <v>125.3875321546813</v>
      </c>
      <c r="P40" s="26">
        <f t="shared" si="13"/>
        <v>63.135000000000005</v>
      </c>
      <c r="Q40" s="26">
        <f t="shared" si="14"/>
        <v>0</v>
      </c>
      <c r="R40" s="26">
        <f t="shared" si="15"/>
        <v>0</v>
      </c>
      <c r="S40" s="26">
        <f t="shared" si="16"/>
        <v>0</v>
      </c>
      <c r="T40" s="26">
        <f t="shared" si="17"/>
        <v>0</v>
      </c>
      <c r="U40" s="26">
        <f t="shared" si="18"/>
        <v>125.3875321546813</v>
      </c>
      <c r="V40" s="26">
        <f t="shared" si="19"/>
        <v>81.612467845318733</v>
      </c>
      <c r="W40" s="26">
        <f t="shared" si="20"/>
        <v>3.1194207273865331</v>
      </c>
      <c r="X40" s="25">
        <f t="shared" si="21"/>
        <v>1</v>
      </c>
      <c r="Y40" s="26" t="str">
        <f t="shared" si="22"/>
        <v>OK</v>
      </c>
      <c r="Z40" s="26">
        <f t="shared" si="1"/>
        <v>128.50695288206782</v>
      </c>
      <c r="AA40" s="26">
        <f t="shared" si="23"/>
        <v>207.00000000000003</v>
      </c>
      <c r="AB40" s="26">
        <f t="shared" si="24"/>
        <v>89.771817051597111</v>
      </c>
      <c r="AC40" s="26">
        <f t="shared" si="2"/>
        <v>127.22818294840292</v>
      </c>
      <c r="AD40" s="26">
        <f t="shared" si="25"/>
        <v>128.50695288206782</v>
      </c>
      <c r="AE40" s="31">
        <f t="shared" si="26"/>
        <v>0</v>
      </c>
      <c r="AF40" s="25">
        <f t="shared" si="27"/>
        <v>0</v>
      </c>
      <c r="AG40" s="26">
        <f t="shared" si="28"/>
        <v>0</v>
      </c>
      <c r="AH40" s="26">
        <f t="shared" si="29"/>
        <v>207.00000000000003</v>
      </c>
      <c r="AI40" s="25">
        <f t="shared" si="30"/>
        <v>0</v>
      </c>
    </row>
    <row r="41" spans="1:35" x14ac:dyDescent="0.35">
      <c r="A41" s="25">
        <v>14</v>
      </c>
      <c r="B41" s="26" t="str">
        <f t="shared" si="0"/>
        <v>Quarter 14</v>
      </c>
      <c r="C41" s="27">
        <f>Case2B_Ruin_ChangingRates!C41</f>
        <v>112.21</v>
      </c>
      <c r="D41" s="28">
        <f>Case2B_Ruin_ChangingRates!D41</f>
        <v>0.3</v>
      </c>
      <c r="E41" s="28">
        <f>Case2B_Ruin_ChangingRates!E41</f>
        <v>8.3000000000000004E-2</v>
      </c>
      <c r="F41" s="29">
        <f t="shared" si="3"/>
        <v>-2.4260869565217447E-2</v>
      </c>
      <c r="G41" s="25">
        <f t="shared" si="4"/>
        <v>1</v>
      </c>
      <c r="H41" s="26">
        <f t="shared" si="5"/>
        <v>207.00000000000003</v>
      </c>
      <c r="I41" s="26">
        <f t="shared" si="6"/>
        <v>-5.0220000000000118</v>
      </c>
      <c r="J41" s="26">
        <f t="shared" si="7"/>
        <v>1.5525000000000002</v>
      </c>
      <c r="K41" s="26">
        <f t="shared" si="8"/>
        <v>1.6934587077903638</v>
      </c>
      <c r="L41" s="26">
        <f t="shared" si="9"/>
        <v>-5.1629587077903754</v>
      </c>
      <c r="M41" s="26">
        <f t="shared" si="10"/>
        <v>201.97800000000001</v>
      </c>
      <c r="N41" s="26">
        <f t="shared" si="11"/>
        <v>81.753426553109108</v>
      </c>
      <c r="O41" s="26">
        <f t="shared" si="12"/>
        <v>120.2245734468909</v>
      </c>
      <c r="P41" s="26">
        <f t="shared" si="13"/>
        <v>60.593400000000003</v>
      </c>
      <c r="Q41" s="26">
        <f t="shared" si="14"/>
        <v>0</v>
      </c>
      <c r="R41" s="26">
        <f t="shared" si="15"/>
        <v>0</v>
      </c>
      <c r="S41" s="26">
        <f t="shared" si="16"/>
        <v>0</v>
      </c>
      <c r="T41" s="26">
        <f t="shared" si="17"/>
        <v>0</v>
      </c>
      <c r="U41" s="26">
        <f t="shared" si="18"/>
        <v>120.2245734468909</v>
      </c>
      <c r="V41" s="26">
        <f t="shared" si="19"/>
        <v>81.753426553109108</v>
      </c>
      <c r="W41" s="26">
        <f t="shared" si="20"/>
        <v>3.1194207273865331</v>
      </c>
      <c r="X41" s="25">
        <f t="shared" si="21"/>
        <v>1</v>
      </c>
      <c r="Y41" s="26" t="str">
        <f t="shared" si="22"/>
        <v>OK</v>
      </c>
      <c r="Z41" s="26">
        <f t="shared" si="1"/>
        <v>123.34399417427744</v>
      </c>
      <c r="AA41" s="26">
        <f t="shared" si="23"/>
        <v>201.97800000000001</v>
      </c>
      <c r="AB41" s="26">
        <f t="shared" si="24"/>
        <v>90.08208225541776</v>
      </c>
      <c r="AC41" s="26">
        <f t="shared" si="2"/>
        <v>121.89591774458225</v>
      </c>
      <c r="AD41" s="26">
        <f t="shared" si="25"/>
        <v>128.50695288206782</v>
      </c>
      <c r="AE41" s="31">
        <f t="shared" si="26"/>
        <v>-4.0176493115734235E-2</v>
      </c>
      <c r="AF41" s="25">
        <f t="shared" si="27"/>
        <v>0</v>
      </c>
      <c r="AG41" s="26">
        <f t="shared" si="28"/>
        <v>0</v>
      </c>
      <c r="AH41" s="26">
        <f t="shared" si="29"/>
        <v>201.97800000000001</v>
      </c>
      <c r="AI41" s="25">
        <f t="shared" si="30"/>
        <v>0</v>
      </c>
    </row>
    <row r="42" spans="1:35" x14ac:dyDescent="0.35">
      <c r="A42" s="25">
        <v>15</v>
      </c>
      <c r="B42" s="26" t="str">
        <f t="shared" si="0"/>
        <v>Quarter 15</v>
      </c>
      <c r="C42" s="27">
        <f>Case2B_Ruin_ChangingRates!C42</f>
        <v>103.37</v>
      </c>
      <c r="D42" s="28">
        <f>Case2B_Ruin_ChangingRates!D42</f>
        <v>0.33500000000000002</v>
      </c>
      <c r="E42" s="28">
        <f>Case2B_Ruin_ChangingRates!E42</f>
        <v>9.1499999999999998E-2</v>
      </c>
      <c r="F42" s="29">
        <f t="shared" si="3"/>
        <v>-7.87808573210943E-2</v>
      </c>
      <c r="G42" s="25">
        <f t="shared" si="4"/>
        <v>1</v>
      </c>
      <c r="H42" s="26">
        <f t="shared" si="5"/>
        <v>201.97800000000001</v>
      </c>
      <c r="I42" s="26">
        <f t="shared" si="6"/>
        <v>-15.911999999999985</v>
      </c>
      <c r="J42" s="26">
        <f t="shared" si="7"/>
        <v>1.5148349999999999</v>
      </c>
      <c r="K42" s="26">
        <f t="shared" si="8"/>
        <v>1.8701096324023707</v>
      </c>
      <c r="L42" s="26">
        <f t="shared" si="9"/>
        <v>-16.267274632402355</v>
      </c>
      <c r="M42" s="26">
        <f t="shared" si="10"/>
        <v>186.06600000000003</v>
      </c>
      <c r="N42" s="26">
        <f t="shared" si="11"/>
        <v>82.108701185511478</v>
      </c>
      <c r="O42" s="26">
        <f t="shared" si="12"/>
        <v>103.95729881448855</v>
      </c>
      <c r="P42" s="26">
        <f t="shared" si="13"/>
        <v>62.332110000000014</v>
      </c>
      <c r="Q42" s="26">
        <f t="shared" si="14"/>
        <v>0</v>
      </c>
      <c r="R42" s="26">
        <f t="shared" si="15"/>
        <v>0</v>
      </c>
      <c r="S42" s="26">
        <f t="shared" si="16"/>
        <v>0</v>
      </c>
      <c r="T42" s="26">
        <f t="shared" si="17"/>
        <v>0</v>
      </c>
      <c r="U42" s="26">
        <f t="shared" si="18"/>
        <v>103.95729881448855</v>
      </c>
      <c r="V42" s="26">
        <f t="shared" si="19"/>
        <v>82.108701185511478</v>
      </c>
      <c r="W42" s="26">
        <f t="shared" si="20"/>
        <v>3.1194207273865331</v>
      </c>
      <c r="X42" s="25">
        <f t="shared" si="21"/>
        <v>1</v>
      </c>
      <c r="Y42" s="26" t="str">
        <f t="shared" si="22"/>
        <v>OK</v>
      </c>
      <c r="Z42" s="26">
        <f t="shared" si="1"/>
        <v>107.07671954187509</v>
      </c>
      <c r="AA42" s="26">
        <f t="shared" si="23"/>
        <v>186.06600000000003</v>
      </c>
      <c r="AB42" s="26">
        <f t="shared" si="24"/>
        <v>90.627874887010435</v>
      </c>
      <c r="AC42" s="26">
        <f t="shared" si="2"/>
        <v>105.4381251129896</v>
      </c>
      <c r="AD42" s="26">
        <f t="shared" si="25"/>
        <v>128.50695288206782</v>
      </c>
      <c r="AE42" s="31">
        <f t="shared" si="26"/>
        <v>-0.1667632206629277</v>
      </c>
      <c r="AF42" s="25">
        <f t="shared" si="27"/>
        <v>0</v>
      </c>
      <c r="AG42" s="26">
        <f t="shared" si="28"/>
        <v>0</v>
      </c>
      <c r="AH42" s="26">
        <f t="shared" si="29"/>
        <v>186.06600000000003</v>
      </c>
      <c r="AI42" s="25">
        <f t="shared" si="30"/>
        <v>0</v>
      </c>
    </row>
    <row r="43" spans="1:35" x14ac:dyDescent="0.35">
      <c r="A43" s="25">
        <v>16</v>
      </c>
      <c r="B43" s="26" t="str">
        <f t="shared" si="0"/>
        <v>Quarter 16</v>
      </c>
      <c r="C43" s="27">
        <f>Case2B_Ruin_ChangingRates!C43</f>
        <v>95.33</v>
      </c>
      <c r="D43" s="28">
        <f>Case2B_Ruin_ChangingRates!D43</f>
        <v>0.37</v>
      </c>
      <c r="E43" s="28">
        <f>Case2B_Ruin_ChangingRates!E43</f>
        <v>0.1</v>
      </c>
      <c r="F43" s="29">
        <f t="shared" si="3"/>
        <v>-7.7778852665183362E-2</v>
      </c>
      <c r="G43" s="25">
        <f t="shared" si="4"/>
        <v>1</v>
      </c>
      <c r="H43" s="26">
        <f t="shared" si="5"/>
        <v>186.06600000000003</v>
      </c>
      <c r="I43" s="26">
        <f t="shared" si="6"/>
        <v>-14.47200000000001</v>
      </c>
      <c r="J43" s="26">
        <f t="shared" si="7"/>
        <v>1.3954950000000002</v>
      </c>
      <c r="K43" s="26">
        <f t="shared" si="8"/>
        <v>2.0527175296377869</v>
      </c>
      <c r="L43" s="26">
        <f t="shared" si="9"/>
        <v>-15.129222529637797</v>
      </c>
      <c r="M43" s="26">
        <f t="shared" si="10"/>
        <v>171.59400000000002</v>
      </c>
      <c r="N43" s="26">
        <f t="shared" si="11"/>
        <v>82.76592371514927</v>
      </c>
      <c r="O43" s="26">
        <f t="shared" si="12"/>
        <v>88.828076284850752</v>
      </c>
      <c r="P43" s="26">
        <f t="shared" si="13"/>
        <v>63.48978000000001</v>
      </c>
      <c r="Q43" s="26">
        <f t="shared" si="14"/>
        <v>0</v>
      </c>
      <c r="R43" s="26">
        <f t="shared" si="15"/>
        <v>0</v>
      </c>
      <c r="S43" s="26">
        <f t="shared" si="16"/>
        <v>0</v>
      </c>
      <c r="T43" s="26">
        <f t="shared" si="17"/>
        <v>0</v>
      </c>
      <c r="U43" s="26">
        <f t="shared" si="18"/>
        <v>88.828076284850752</v>
      </c>
      <c r="V43" s="26">
        <f t="shared" si="19"/>
        <v>82.76592371514927</v>
      </c>
      <c r="W43" s="26">
        <f t="shared" si="20"/>
        <v>3.1194207273865331</v>
      </c>
      <c r="X43" s="25">
        <f t="shared" si="21"/>
        <v>1</v>
      </c>
      <c r="Y43" s="26" t="str">
        <f t="shared" si="22"/>
        <v>OK</v>
      </c>
      <c r="Z43" s="26">
        <f t="shared" si="1"/>
        <v>91.947497012237278</v>
      </c>
      <c r="AA43" s="26">
        <f t="shared" si="23"/>
        <v>171.59400000000002</v>
      </c>
      <c r="AB43" s="26">
        <f t="shared" si="24"/>
        <v>91.498076759185693</v>
      </c>
      <c r="AC43" s="26">
        <f t="shared" si="2"/>
        <v>90.095923240814329</v>
      </c>
      <c r="AD43" s="26">
        <f t="shared" si="25"/>
        <v>128.50695288206782</v>
      </c>
      <c r="AE43" s="31">
        <f t="shared" si="26"/>
        <v>-0.28449399079115623</v>
      </c>
      <c r="AF43" s="25">
        <f t="shared" si="27"/>
        <v>0</v>
      </c>
      <c r="AG43" s="26">
        <f t="shared" si="28"/>
        <v>0</v>
      </c>
      <c r="AH43" s="26">
        <f t="shared" si="29"/>
        <v>171.59400000000002</v>
      </c>
      <c r="AI43" s="25">
        <f t="shared" si="30"/>
        <v>0</v>
      </c>
    </row>
    <row r="44" spans="1:35" x14ac:dyDescent="0.35">
      <c r="A44" s="25">
        <v>17</v>
      </c>
      <c r="B44" s="26" t="str">
        <f t="shared" si="0"/>
        <v>Quarter 17</v>
      </c>
      <c r="C44" s="27">
        <f>Case2B_Ruin_ChangingRates!C44</f>
        <v>82.95</v>
      </c>
      <c r="D44" s="28">
        <f>Case2B_Ruin_ChangingRates!D44</f>
        <v>0.44500000000000001</v>
      </c>
      <c r="E44" s="28">
        <f>Case2B_Ruin_ChangingRates!E44</f>
        <v>0.11</v>
      </c>
      <c r="F44" s="29">
        <f t="shared" si="3"/>
        <v>-0.12986468058323708</v>
      </c>
      <c r="G44" s="25">
        <f t="shared" si="4"/>
        <v>1</v>
      </c>
      <c r="H44" s="26">
        <f t="shared" si="5"/>
        <v>171.59400000000002</v>
      </c>
      <c r="I44" s="26">
        <f t="shared" si="6"/>
        <v>-22.283999999999985</v>
      </c>
      <c r="J44" s="26">
        <f t="shared" si="7"/>
        <v>1.2869550000000001</v>
      </c>
      <c r="K44" s="26">
        <f t="shared" si="8"/>
        <v>2.276062902166605</v>
      </c>
      <c r="L44" s="26">
        <f t="shared" si="9"/>
        <v>-23.27310790216659</v>
      </c>
      <c r="M44" s="26">
        <f t="shared" si="10"/>
        <v>149.31000000000003</v>
      </c>
      <c r="N44" s="26">
        <f t="shared" si="11"/>
        <v>83.755031617315865</v>
      </c>
      <c r="O44" s="26">
        <f t="shared" si="12"/>
        <v>65.554968382684166</v>
      </c>
      <c r="P44" s="26">
        <f t="shared" si="13"/>
        <v>66.44295000000001</v>
      </c>
      <c r="Q44" s="26">
        <f t="shared" si="14"/>
        <v>0.88798161731584457</v>
      </c>
      <c r="R44" s="26">
        <f t="shared" si="15"/>
        <v>0.88798161731584457</v>
      </c>
      <c r="S44" s="26">
        <f t="shared" si="16"/>
        <v>0</v>
      </c>
      <c r="T44" s="26">
        <f t="shared" si="17"/>
        <v>0</v>
      </c>
      <c r="U44" s="26">
        <f t="shared" si="18"/>
        <v>66.44295000000001</v>
      </c>
      <c r="V44" s="26">
        <f t="shared" si="19"/>
        <v>82.86705000000002</v>
      </c>
      <c r="W44" s="26">
        <f t="shared" si="20"/>
        <v>2.2314391100706885</v>
      </c>
      <c r="X44" s="25">
        <f t="shared" si="21"/>
        <v>1</v>
      </c>
      <c r="Y44" s="26" t="str">
        <f t="shared" si="22"/>
        <v>Margin call met from reserve</v>
      </c>
      <c r="Z44" s="26">
        <f t="shared" si="1"/>
        <v>68.674389110070706</v>
      </c>
      <c r="AA44" s="26">
        <f t="shared" si="23"/>
        <v>149.31000000000003</v>
      </c>
      <c r="AB44" s="26">
        <f t="shared" si="24"/>
        <v>92.7273188700633</v>
      </c>
      <c r="AC44" s="26">
        <f t="shared" si="2"/>
        <v>66.582681129936731</v>
      </c>
      <c r="AD44" s="26">
        <f t="shared" si="25"/>
        <v>128.50695288206782</v>
      </c>
      <c r="AE44" s="31">
        <f t="shared" si="26"/>
        <v>-0.46559787178913259</v>
      </c>
      <c r="AF44" s="25">
        <f t="shared" si="27"/>
        <v>0</v>
      </c>
      <c r="AG44" s="26">
        <f t="shared" si="28"/>
        <v>0</v>
      </c>
      <c r="AH44" s="26">
        <f t="shared" si="29"/>
        <v>149.31000000000003</v>
      </c>
      <c r="AI44" s="25">
        <f t="shared" si="30"/>
        <v>0</v>
      </c>
    </row>
    <row r="45" spans="1:35" x14ac:dyDescent="0.35">
      <c r="A45" s="25">
        <v>18</v>
      </c>
      <c r="B45" s="26" t="str">
        <f t="shared" si="0"/>
        <v>Quarter 18</v>
      </c>
      <c r="C45" s="27">
        <f>Case2B_Ruin_ChangingRates!C45</f>
        <v>70.790000000000006</v>
      </c>
      <c r="D45" s="28">
        <f>Case2B_Ruin_ChangingRates!D45</f>
        <v>0.52</v>
      </c>
      <c r="E45" s="28">
        <f>Case2B_Ruin_ChangingRates!E45</f>
        <v>0.12</v>
      </c>
      <c r="F45" s="29">
        <f t="shared" si="3"/>
        <v>-0.14659433393610599</v>
      </c>
      <c r="G45" s="25">
        <f t="shared" si="4"/>
        <v>1</v>
      </c>
      <c r="H45" s="26">
        <f t="shared" si="5"/>
        <v>149.31000000000003</v>
      </c>
      <c r="I45" s="26">
        <f t="shared" si="6"/>
        <v>-21.887999999999991</v>
      </c>
      <c r="J45" s="26">
        <f t="shared" si="7"/>
        <v>1.1198250000000003</v>
      </c>
      <c r="K45" s="26">
        <f t="shared" si="8"/>
        <v>2.4860115000000005</v>
      </c>
      <c r="L45" s="26">
        <f t="shared" si="9"/>
        <v>-23.254186499999992</v>
      </c>
      <c r="M45" s="26">
        <f t="shared" si="10"/>
        <v>127.42200000000004</v>
      </c>
      <c r="N45" s="26">
        <f t="shared" si="11"/>
        <v>84.233236500000018</v>
      </c>
      <c r="O45" s="26">
        <f t="shared" si="12"/>
        <v>43.188763500000022</v>
      </c>
      <c r="P45" s="26">
        <f t="shared" si="13"/>
        <v>66.259440000000026</v>
      </c>
      <c r="Q45" s="26">
        <f t="shared" si="14"/>
        <v>23.070676500000005</v>
      </c>
      <c r="R45" s="26">
        <f t="shared" si="15"/>
        <v>2.2314391100706885</v>
      </c>
      <c r="S45" s="26">
        <f t="shared" si="16"/>
        <v>20.839237389929316</v>
      </c>
      <c r="T45" s="26">
        <f t="shared" si="17"/>
        <v>8.4483394824037763</v>
      </c>
      <c r="U45" s="26">
        <f t="shared" si="18"/>
        <v>36.971863127666936</v>
      </c>
      <c r="V45" s="26">
        <f t="shared" si="19"/>
        <v>34.127873656307919</v>
      </c>
      <c r="W45" s="26">
        <f t="shared" si="20"/>
        <v>0</v>
      </c>
      <c r="X45" s="25">
        <f t="shared" si="21"/>
        <v>1</v>
      </c>
      <c r="Y45" s="26" t="str">
        <f t="shared" si="22"/>
        <v>Shares sold to meet call</v>
      </c>
      <c r="Z45" s="26">
        <f t="shared" si="1"/>
        <v>36.971863127666936</v>
      </c>
      <c r="AA45" s="26">
        <f t="shared" si="23"/>
        <v>127.42200000000004</v>
      </c>
      <c r="AB45" s="26">
        <f t="shared" si="24"/>
        <v>94.389313436165196</v>
      </c>
      <c r="AC45" s="26">
        <f t="shared" si="2"/>
        <v>43.032686563834844</v>
      </c>
      <c r="AD45" s="26">
        <f t="shared" si="25"/>
        <v>128.50695288206782</v>
      </c>
      <c r="AE45" s="31">
        <f t="shared" si="26"/>
        <v>-0.7122967878508768</v>
      </c>
      <c r="AF45" s="25">
        <f t="shared" si="27"/>
        <v>0</v>
      </c>
      <c r="AG45" s="26">
        <f t="shared" si="28"/>
        <v>56.322263216025178</v>
      </c>
      <c r="AH45" s="26">
        <f t="shared" si="29"/>
        <v>71.099736783974862</v>
      </c>
      <c r="AI45" s="25">
        <f t="shared" si="30"/>
        <v>1</v>
      </c>
    </row>
    <row r="46" spans="1:35" x14ac:dyDescent="0.35">
      <c r="A46" s="25">
        <v>19</v>
      </c>
      <c r="B46" s="26" t="str">
        <f t="shared" si="0"/>
        <v>Quarter 19</v>
      </c>
      <c r="C46" s="27">
        <f>Case2B_Ruin_ChangingRates!C46</f>
        <v>60.26</v>
      </c>
      <c r="D46" s="28">
        <f>Case2B_Ruin_ChangingRates!D46</f>
        <v>0.54</v>
      </c>
      <c r="E46" s="28">
        <f>Case2B_Ruin_ChangingRates!E46</f>
        <v>0.1225</v>
      </c>
      <c r="F46" s="29">
        <f t="shared" si="3"/>
        <v>-0.14874982342138732</v>
      </c>
      <c r="G46" s="25">
        <f t="shared" si="4"/>
        <v>1</v>
      </c>
      <c r="H46" s="26">
        <f t="shared" si="5"/>
        <v>71.099736783974862</v>
      </c>
      <c r="I46" s="26">
        <f t="shared" si="6"/>
        <v>-10.576073291923377</v>
      </c>
      <c r="J46" s="26">
        <f t="shared" si="7"/>
        <v>0.53324802587981146</v>
      </c>
      <c r="K46" s="26">
        <f t="shared" si="8"/>
        <v>1.04516613072443</v>
      </c>
      <c r="L46" s="26">
        <f t="shared" si="9"/>
        <v>-11.087991396767997</v>
      </c>
      <c r="M46" s="26">
        <f t="shared" si="10"/>
        <v>60.523663492051483</v>
      </c>
      <c r="N46" s="26">
        <f t="shared" si="11"/>
        <v>34.639791761152537</v>
      </c>
      <c r="O46" s="26">
        <f t="shared" si="12"/>
        <v>25.883871730898946</v>
      </c>
      <c r="P46" s="26">
        <f t="shared" si="13"/>
        <v>32.682778285707805</v>
      </c>
      <c r="Q46" s="26">
        <f t="shared" si="14"/>
        <v>6.798906554808859</v>
      </c>
      <c r="R46" s="26">
        <f t="shared" si="15"/>
        <v>0</v>
      </c>
      <c r="S46" s="26">
        <f t="shared" si="16"/>
        <v>6.798906554808859</v>
      </c>
      <c r="T46" s="26">
        <f t="shared" si="17"/>
        <v>2.6149640595418688</v>
      </c>
      <c r="U46" s="26">
        <f t="shared" si="18"/>
        <v>23.268907671357077</v>
      </c>
      <c r="V46" s="26">
        <f t="shared" si="19"/>
        <v>19.82166209041528</v>
      </c>
      <c r="W46" s="26">
        <f t="shared" si="20"/>
        <v>0</v>
      </c>
      <c r="X46" s="25">
        <f t="shared" si="21"/>
        <v>1</v>
      </c>
      <c r="Y46" s="26" t="str">
        <f t="shared" si="22"/>
        <v>Shares sold to meet call</v>
      </c>
      <c r="Z46" s="26">
        <f t="shared" si="1"/>
        <v>23.268907671357077</v>
      </c>
      <c r="AA46" s="26">
        <f t="shared" si="23"/>
        <v>108.46800000000002</v>
      </c>
      <c r="AB46" s="26">
        <f t="shared" si="24"/>
        <v>96.324321160147747</v>
      </c>
      <c r="AC46" s="26">
        <f t="shared" si="2"/>
        <v>22.143678839852271</v>
      </c>
      <c r="AD46" s="26">
        <f t="shared" si="25"/>
        <v>128.50695288206782</v>
      </c>
      <c r="AE46" s="31">
        <f t="shared" si="26"/>
        <v>-0.8189288038545961</v>
      </c>
      <c r="AF46" s="25">
        <f t="shared" si="27"/>
        <v>0</v>
      </c>
      <c r="AG46" s="26">
        <f t="shared" si="28"/>
        <v>17.433093730279126</v>
      </c>
      <c r="AH46" s="26">
        <f t="shared" si="29"/>
        <v>43.090569761772358</v>
      </c>
      <c r="AI46" s="25">
        <f t="shared" si="30"/>
        <v>1</v>
      </c>
    </row>
    <row r="47" spans="1:35" x14ac:dyDescent="0.35">
      <c r="A47" s="25">
        <v>20</v>
      </c>
      <c r="B47" s="26" t="str">
        <f t="shared" si="0"/>
        <v>Quarter 20</v>
      </c>
      <c r="C47" s="27">
        <f>Case2B_Ruin_ChangingRates!C47</f>
        <v>52.41</v>
      </c>
      <c r="D47" s="28">
        <f>Case2B_Ruin_ChangingRates!D47</f>
        <v>0.57999999999999996</v>
      </c>
      <c r="E47" s="28">
        <f>Case2B_Ruin_ChangingRates!E47</f>
        <v>0.1275</v>
      </c>
      <c r="F47" s="29">
        <f t="shared" si="3"/>
        <v>-0.13026883504812481</v>
      </c>
      <c r="G47" s="25">
        <f t="shared" si="4"/>
        <v>1</v>
      </c>
      <c r="H47" s="26">
        <f t="shared" si="5"/>
        <v>43.090569761772358</v>
      </c>
      <c r="I47" s="26">
        <f t="shared" si="6"/>
        <v>-5.6133583244260379</v>
      </c>
      <c r="J47" s="26">
        <f t="shared" si="7"/>
        <v>0.32317927321329265</v>
      </c>
      <c r="K47" s="26">
        <f t="shared" si="8"/>
        <v>0.6318154791319871</v>
      </c>
      <c r="L47" s="26">
        <f t="shared" si="9"/>
        <v>-5.9219945303447323</v>
      </c>
      <c r="M47" s="26">
        <f t="shared" si="10"/>
        <v>37.47721143734632</v>
      </c>
      <c r="N47" s="26">
        <f t="shared" si="11"/>
        <v>20.130298296333976</v>
      </c>
      <c r="O47" s="26">
        <f t="shared" si="12"/>
        <v>17.346913141012344</v>
      </c>
      <c r="P47" s="26">
        <f t="shared" si="13"/>
        <v>21.736782633660862</v>
      </c>
      <c r="Q47" s="26">
        <f t="shared" si="14"/>
        <v>4.3898694926485184</v>
      </c>
      <c r="R47" s="26">
        <f t="shared" si="15"/>
        <v>0</v>
      </c>
      <c r="S47" s="26">
        <f t="shared" si="16"/>
        <v>4.3898694926485184</v>
      </c>
      <c r="T47" s="26">
        <f t="shared" si="17"/>
        <v>1.5313498230169253</v>
      </c>
      <c r="U47" s="26">
        <f t="shared" si="18"/>
        <v>15.815563317995419</v>
      </c>
      <c r="V47" s="26">
        <f t="shared" si="19"/>
        <v>11.452649299238066</v>
      </c>
      <c r="W47" s="26">
        <f t="shared" si="20"/>
        <v>0</v>
      </c>
      <c r="X47" s="25">
        <f t="shared" si="21"/>
        <v>1</v>
      </c>
      <c r="Y47" s="26" t="str">
        <f t="shared" si="22"/>
        <v>Shares sold to meet call</v>
      </c>
      <c r="Z47" s="26">
        <f t="shared" si="1"/>
        <v>15.815563317995419</v>
      </c>
      <c r="AA47" s="26">
        <f t="shared" si="23"/>
        <v>94.338000000000008</v>
      </c>
      <c r="AB47" s="26">
        <f t="shared" si="24"/>
        <v>98.581148897127477</v>
      </c>
      <c r="AC47" s="26">
        <f t="shared" si="2"/>
        <v>5.7568511028725311</v>
      </c>
      <c r="AD47" s="26">
        <f t="shared" si="25"/>
        <v>128.50695288206782</v>
      </c>
      <c r="AE47" s="31">
        <f t="shared" si="26"/>
        <v>-0.87692834540626352</v>
      </c>
      <c r="AF47" s="25">
        <f t="shared" si="27"/>
        <v>0</v>
      </c>
      <c r="AG47" s="26">
        <f t="shared" si="28"/>
        <v>10.208998820112836</v>
      </c>
      <c r="AH47" s="26">
        <f t="shared" si="29"/>
        <v>27.268212617233484</v>
      </c>
      <c r="AI47" s="25">
        <f t="shared" si="30"/>
        <v>1</v>
      </c>
    </row>
    <row r="48" spans="1:35" x14ac:dyDescent="0.35">
      <c r="A48" s="25">
        <v>21</v>
      </c>
      <c r="B48" s="26" t="str">
        <f t="shared" si="0"/>
        <v>Quarter 21</v>
      </c>
      <c r="C48" s="27">
        <f>Case2B_Ruin_ChangingRates!C48</f>
        <v>50</v>
      </c>
      <c r="D48" s="28">
        <f>Case2B_Ruin_ChangingRates!D48</f>
        <v>0.6</v>
      </c>
      <c r="E48" s="28">
        <f>Case2B_Ruin_ChangingRates!E48</f>
        <v>0.13</v>
      </c>
      <c r="F48" s="29">
        <f t="shared" si="3"/>
        <v>-4.5983590917763717E-2</v>
      </c>
      <c r="G48" s="25">
        <f t="shared" si="4"/>
        <v>1</v>
      </c>
      <c r="H48" s="26">
        <f t="shared" si="5"/>
        <v>27.268212617233484</v>
      </c>
      <c r="I48" s="26">
        <f t="shared" si="6"/>
        <v>-1.2538903340494676</v>
      </c>
      <c r="J48" s="26">
        <f t="shared" si="7"/>
        <v>0.20451159462925111</v>
      </c>
      <c r="K48" s="26">
        <f t="shared" si="8"/>
        <v>0.37221110222523718</v>
      </c>
      <c r="L48" s="26">
        <f t="shared" si="9"/>
        <v>-1.4215898416454538</v>
      </c>
      <c r="M48" s="26">
        <f t="shared" si="10"/>
        <v>26.014322283184015</v>
      </c>
      <c r="N48" s="26">
        <f t="shared" si="11"/>
        <v>11.620348806834052</v>
      </c>
      <c r="O48" s="26">
        <f t="shared" si="12"/>
        <v>14.393973476349963</v>
      </c>
      <c r="P48" s="26">
        <f t="shared" si="13"/>
        <v>15.608593369910409</v>
      </c>
      <c r="Q48" s="26">
        <f t="shared" si="14"/>
        <v>1.214619893560446</v>
      </c>
      <c r="R48" s="26">
        <f t="shared" si="15"/>
        <v>0</v>
      </c>
      <c r="S48" s="26">
        <f t="shared" si="16"/>
        <v>1.214619893560446</v>
      </c>
      <c r="T48" s="26">
        <f t="shared" si="17"/>
        <v>0.40487329785348197</v>
      </c>
      <c r="U48" s="26">
        <f t="shared" si="18"/>
        <v>13.98910017849648</v>
      </c>
      <c r="V48" s="26">
        <f t="shared" si="19"/>
        <v>9.3260667856643202</v>
      </c>
      <c r="W48" s="26">
        <f t="shared" si="20"/>
        <v>0</v>
      </c>
      <c r="X48" s="25">
        <f t="shared" si="21"/>
        <v>1</v>
      </c>
      <c r="Y48" s="26" t="str">
        <f t="shared" si="22"/>
        <v>Shares sold to meet call</v>
      </c>
      <c r="Z48" s="26">
        <f t="shared" si="1"/>
        <v>13.98910017849648</v>
      </c>
      <c r="AA48" s="26">
        <f t="shared" si="23"/>
        <v>90.000000000000014</v>
      </c>
      <c r="AB48" s="26">
        <f t="shared" si="24"/>
        <v>101.07750123628412</v>
      </c>
      <c r="AC48" s="26">
        <f t="shared" si="2"/>
        <v>-1.0775012362841068</v>
      </c>
      <c r="AD48" s="26">
        <f t="shared" si="25"/>
        <v>128.50695288206782</v>
      </c>
      <c r="AE48" s="31">
        <f t="shared" si="26"/>
        <v>-0.89114129730136526</v>
      </c>
      <c r="AF48" s="25">
        <f t="shared" si="27"/>
        <v>0</v>
      </c>
      <c r="AG48" s="26">
        <f t="shared" si="28"/>
        <v>2.6991553190232134</v>
      </c>
      <c r="AH48" s="26">
        <f t="shared" si="29"/>
        <v>23.315166964160802</v>
      </c>
      <c r="AI48" s="25">
        <f t="shared" si="30"/>
        <v>1</v>
      </c>
    </row>
    <row r="49" spans="1:35" x14ac:dyDescent="0.35">
      <c r="A49" s="25">
        <v>22</v>
      </c>
      <c r="B49" s="26" t="str">
        <f t="shared" si="0"/>
        <v>Quarter 22</v>
      </c>
      <c r="C49" s="27">
        <f>Case2B_Ruin_ChangingRates!C49</f>
        <v>52.45</v>
      </c>
      <c r="D49" s="28">
        <f>Case2B_Ruin_ChangingRates!D49</f>
        <v>0.59699999999999998</v>
      </c>
      <c r="E49" s="28">
        <f>Case2B_Ruin_ChangingRates!E49</f>
        <v>0.12939999999999999</v>
      </c>
      <c r="F49" s="29">
        <f t="shared" si="3"/>
        <v>4.9000000000000155E-2</v>
      </c>
      <c r="G49" s="25">
        <f t="shared" si="4"/>
        <v>1</v>
      </c>
      <c r="H49" s="26">
        <f t="shared" si="5"/>
        <v>23.315166964160802</v>
      </c>
      <c r="I49" s="26">
        <f t="shared" si="6"/>
        <v>1.1424431812438829</v>
      </c>
      <c r="J49" s="26">
        <f t="shared" si="7"/>
        <v>0.17486375223120601</v>
      </c>
      <c r="K49" s="26">
        <f t="shared" si="8"/>
        <v>0.30169826051624071</v>
      </c>
      <c r="L49" s="26">
        <f t="shared" si="9"/>
        <v>1.015608672958848</v>
      </c>
      <c r="M49" s="26">
        <f t="shared" si="10"/>
        <v>24.457610145404686</v>
      </c>
      <c r="N49" s="26">
        <f t="shared" si="11"/>
        <v>9.4529012939493562</v>
      </c>
      <c r="O49" s="26">
        <f t="shared" si="12"/>
        <v>15.00470885145533</v>
      </c>
      <c r="P49" s="26">
        <f t="shared" si="13"/>
        <v>14.601193256806598</v>
      </c>
      <c r="Q49" s="26">
        <f t="shared" si="14"/>
        <v>0</v>
      </c>
      <c r="R49" s="26">
        <f t="shared" si="15"/>
        <v>0</v>
      </c>
      <c r="S49" s="26">
        <f t="shared" si="16"/>
        <v>0</v>
      </c>
      <c r="T49" s="26">
        <f t="shared" si="17"/>
        <v>0</v>
      </c>
      <c r="U49" s="26">
        <f t="shared" si="18"/>
        <v>15.00470885145533</v>
      </c>
      <c r="V49" s="26">
        <f t="shared" si="19"/>
        <v>9.4529012939493562</v>
      </c>
      <c r="W49" s="26">
        <f t="shared" si="20"/>
        <v>0</v>
      </c>
      <c r="X49" s="25">
        <f t="shared" si="21"/>
        <v>1</v>
      </c>
      <c r="Y49" s="26" t="str">
        <f t="shared" si="22"/>
        <v>OK</v>
      </c>
      <c r="Z49" s="26">
        <f t="shared" si="1"/>
        <v>15.00470885145533</v>
      </c>
      <c r="AA49" s="26">
        <f t="shared" si="23"/>
        <v>94.410000000000025</v>
      </c>
      <c r="AB49" s="26">
        <f t="shared" si="24"/>
        <v>103.67235840127792</v>
      </c>
      <c r="AC49" s="26">
        <f t="shared" si="2"/>
        <v>0.73764159872210655</v>
      </c>
      <c r="AD49" s="26">
        <f t="shared" si="25"/>
        <v>128.50695288206782</v>
      </c>
      <c r="AE49" s="31">
        <f t="shared" si="26"/>
        <v>-0.88323815548544438</v>
      </c>
      <c r="AF49" s="25">
        <f t="shared" si="27"/>
        <v>0</v>
      </c>
      <c r="AG49" s="26">
        <f t="shared" si="28"/>
        <v>0</v>
      </c>
      <c r="AH49" s="26">
        <f t="shared" si="29"/>
        <v>24.457610145404686</v>
      </c>
      <c r="AI49" s="25">
        <f t="shared" si="30"/>
        <v>0</v>
      </c>
    </row>
    <row r="50" spans="1:35" x14ac:dyDescent="0.35">
      <c r="A50" s="25">
        <v>23</v>
      </c>
      <c r="B50" s="26" t="str">
        <f t="shared" si="0"/>
        <v>Quarter 23</v>
      </c>
      <c r="C50" s="27">
        <f>Case2B_Ruin_ChangingRates!C50</f>
        <v>58.58</v>
      </c>
      <c r="D50" s="28">
        <f>Case2B_Ruin_ChangingRates!D50</f>
        <v>0.58809999999999996</v>
      </c>
      <c r="E50" s="28">
        <f>Case2B_Ruin_ChangingRates!E50</f>
        <v>0.12759999999999999</v>
      </c>
      <c r="F50" s="29">
        <f t="shared" si="3"/>
        <v>0.11687321258341266</v>
      </c>
      <c r="G50" s="25">
        <f t="shared" si="4"/>
        <v>1</v>
      </c>
      <c r="H50" s="26">
        <f t="shared" si="5"/>
        <v>24.457610145404686</v>
      </c>
      <c r="I50" s="26">
        <f t="shared" si="6"/>
        <v>2.858439469806112</v>
      </c>
      <c r="J50" s="26">
        <f t="shared" si="7"/>
        <v>0.18343207609053513</v>
      </c>
      <c r="K50" s="26">
        <f t="shared" si="8"/>
        <v>0.30154755127698446</v>
      </c>
      <c r="L50" s="26">
        <f t="shared" si="9"/>
        <v>2.7403239946196627</v>
      </c>
      <c r="M50" s="26">
        <f t="shared" si="10"/>
        <v>27.316049615210797</v>
      </c>
      <c r="N50" s="26">
        <f t="shared" si="11"/>
        <v>9.5710167691358059</v>
      </c>
      <c r="O50" s="26">
        <f t="shared" si="12"/>
        <v>17.745032846074992</v>
      </c>
      <c r="P50" s="26">
        <f t="shared" si="13"/>
        <v>16.064568778705468</v>
      </c>
      <c r="Q50" s="26">
        <f t="shared" si="14"/>
        <v>0</v>
      </c>
      <c r="R50" s="26">
        <f t="shared" si="15"/>
        <v>0</v>
      </c>
      <c r="S50" s="26">
        <f t="shared" si="16"/>
        <v>0</v>
      </c>
      <c r="T50" s="26">
        <f t="shared" si="17"/>
        <v>0</v>
      </c>
      <c r="U50" s="26">
        <f t="shared" si="18"/>
        <v>17.745032846074992</v>
      </c>
      <c r="V50" s="26">
        <f t="shared" si="19"/>
        <v>9.5710167691358059</v>
      </c>
      <c r="W50" s="26">
        <f t="shared" si="20"/>
        <v>0</v>
      </c>
      <c r="X50" s="25">
        <f t="shared" si="21"/>
        <v>1</v>
      </c>
      <c r="Y50" s="26" t="str">
        <f t="shared" si="22"/>
        <v>OK</v>
      </c>
      <c r="Z50" s="26">
        <f t="shared" si="1"/>
        <v>17.745032846074992</v>
      </c>
      <c r="AA50" s="26">
        <f t="shared" si="23"/>
        <v>105.44400000000002</v>
      </c>
      <c r="AB50" s="26">
        <f t="shared" si="24"/>
        <v>106.2714316342787</v>
      </c>
      <c r="AC50" s="26">
        <f t="shared" si="2"/>
        <v>9.1725683657213182</v>
      </c>
      <c r="AD50" s="26">
        <f t="shared" si="25"/>
        <v>128.50695288206782</v>
      </c>
      <c r="AE50" s="31">
        <f t="shared" si="26"/>
        <v>-0.86191383074533101</v>
      </c>
      <c r="AF50" s="25">
        <f t="shared" si="27"/>
        <v>0</v>
      </c>
      <c r="AG50" s="26">
        <f t="shared" si="28"/>
        <v>0</v>
      </c>
      <c r="AH50" s="26">
        <f t="shared" si="29"/>
        <v>27.316049615210797</v>
      </c>
      <c r="AI50" s="25">
        <f t="shared" si="30"/>
        <v>0</v>
      </c>
    </row>
    <row r="51" spans="1:35" x14ac:dyDescent="0.35">
      <c r="A51" s="25">
        <v>24</v>
      </c>
      <c r="B51" s="26" t="str">
        <f t="shared" si="0"/>
        <v>Quarter 24</v>
      </c>
      <c r="C51" s="27">
        <f>Case2B_Ruin_ChangingRates!C51</f>
        <v>69.66</v>
      </c>
      <c r="D51" s="28">
        <f>Case2B_Ruin_ChangingRates!D51</f>
        <v>0.57410000000000005</v>
      </c>
      <c r="E51" s="28">
        <f>Case2B_Ruin_ChangingRates!E51</f>
        <v>0.12479999999999999</v>
      </c>
      <c r="F51" s="29">
        <f t="shared" si="3"/>
        <v>0.18914305223625805</v>
      </c>
      <c r="G51" s="25">
        <f t="shared" si="4"/>
        <v>1</v>
      </c>
      <c r="H51" s="26">
        <f t="shared" si="5"/>
        <v>27.316049615210797</v>
      </c>
      <c r="I51" s="26">
        <f t="shared" si="6"/>
        <v>5.166640999258032</v>
      </c>
      <c r="J51" s="26">
        <f t="shared" si="7"/>
        <v>0.20487037211408096</v>
      </c>
      <c r="K51" s="26">
        <f t="shared" si="8"/>
        <v>0.29861572319703711</v>
      </c>
      <c r="L51" s="26">
        <f t="shared" si="9"/>
        <v>5.0728956481750753</v>
      </c>
      <c r="M51" s="26">
        <f t="shared" si="10"/>
        <v>32.482690614468829</v>
      </c>
      <c r="N51" s="26">
        <f t="shared" si="11"/>
        <v>9.6647621202187608</v>
      </c>
      <c r="O51" s="26">
        <f t="shared" si="12"/>
        <v>22.817928494250069</v>
      </c>
      <c r="P51" s="26">
        <f t="shared" si="13"/>
        <v>18.648312681766555</v>
      </c>
      <c r="Q51" s="26">
        <f t="shared" si="14"/>
        <v>0</v>
      </c>
      <c r="R51" s="26">
        <f t="shared" si="15"/>
        <v>0</v>
      </c>
      <c r="S51" s="26">
        <f t="shared" si="16"/>
        <v>0</v>
      </c>
      <c r="T51" s="26">
        <f t="shared" si="17"/>
        <v>0</v>
      </c>
      <c r="U51" s="26">
        <f t="shared" si="18"/>
        <v>22.817928494250069</v>
      </c>
      <c r="V51" s="26">
        <f t="shared" si="19"/>
        <v>9.6647621202187608</v>
      </c>
      <c r="W51" s="26">
        <f t="shared" si="20"/>
        <v>0</v>
      </c>
      <c r="X51" s="25">
        <f t="shared" si="21"/>
        <v>1</v>
      </c>
      <c r="Y51" s="26" t="str">
        <f t="shared" si="22"/>
        <v>OK</v>
      </c>
      <c r="Z51" s="26">
        <f t="shared" si="1"/>
        <v>22.817928494250069</v>
      </c>
      <c r="AA51" s="26">
        <f t="shared" si="23"/>
        <v>125.38800000000002</v>
      </c>
      <c r="AB51" s="26">
        <f t="shared" si="24"/>
        <v>108.79627030126818</v>
      </c>
      <c r="AC51" s="26">
        <f t="shared" si="2"/>
        <v>26.591729698731839</v>
      </c>
      <c r="AD51" s="26">
        <f t="shared" si="25"/>
        <v>128.50695288206782</v>
      </c>
      <c r="AE51" s="31">
        <f t="shared" si="26"/>
        <v>-0.82243817954978415</v>
      </c>
      <c r="AF51" s="25">
        <f t="shared" si="27"/>
        <v>0</v>
      </c>
      <c r="AG51" s="26">
        <f t="shared" si="28"/>
        <v>0</v>
      </c>
      <c r="AH51" s="26">
        <f t="shared" si="29"/>
        <v>32.482690614468829</v>
      </c>
      <c r="AI51" s="25">
        <f t="shared" si="30"/>
        <v>0</v>
      </c>
    </row>
    <row r="52" spans="1:35" x14ac:dyDescent="0.35">
      <c r="A52" s="25">
        <v>25</v>
      </c>
      <c r="B52" s="26" t="str">
        <f t="shared" si="0"/>
        <v>Quarter 25</v>
      </c>
      <c r="C52" s="27">
        <f>Case2B_Ruin_ChangingRates!C52</f>
        <v>83.69</v>
      </c>
      <c r="D52" s="28">
        <f>Case2B_Ruin_ChangingRates!D52</f>
        <v>0.55620000000000003</v>
      </c>
      <c r="E52" s="28">
        <f>Case2B_Ruin_ChangingRates!E52</f>
        <v>0.1212</v>
      </c>
      <c r="F52" s="29">
        <f t="shared" si="3"/>
        <v>0.20140683318977892</v>
      </c>
      <c r="G52" s="25">
        <f t="shared" si="4"/>
        <v>1</v>
      </c>
      <c r="H52" s="26">
        <f t="shared" si="5"/>
        <v>32.482690614468829</v>
      </c>
      <c r="I52" s="26">
        <f t="shared" si="6"/>
        <v>6.5422358501435207</v>
      </c>
      <c r="J52" s="26">
        <f t="shared" si="7"/>
        <v>0.2436201796085162</v>
      </c>
      <c r="K52" s="26">
        <f t="shared" si="8"/>
        <v>0.29284229224262848</v>
      </c>
      <c r="L52" s="26">
        <f t="shared" si="9"/>
        <v>6.4930137375094086</v>
      </c>
      <c r="M52" s="26">
        <f t="shared" si="10"/>
        <v>39.024926464612349</v>
      </c>
      <c r="N52" s="26">
        <f t="shared" si="11"/>
        <v>9.7139842328528729</v>
      </c>
      <c r="O52" s="26">
        <f t="shared" si="12"/>
        <v>29.310942231759476</v>
      </c>
      <c r="P52" s="26">
        <f t="shared" si="13"/>
        <v>21.70566409961739</v>
      </c>
      <c r="Q52" s="26">
        <f t="shared" si="14"/>
        <v>0</v>
      </c>
      <c r="R52" s="26">
        <f t="shared" si="15"/>
        <v>0</v>
      </c>
      <c r="S52" s="26">
        <f t="shared" si="16"/>
        <v>0</v>
      </c>
      <c r="T52" s="26">
        <f t="shared" si="17"/>
        <v>0</v>
      </c>
      <c r="U52" s="26">
        <f t="shared" si="18"/>
        <v>29.310942231759476</v>
      </c>
      <c r="V52" s="26">
        <f t="shared" si="19"/>
        <v>9.7139842328528729</v>
      </c>
      <c r="W52" s="26">
        <f t="shared" si="20"/>
        <v>0</v>
      </c>
      <c r="X52" s="25">
        <f t="shared" si="21"/>
        <v>1</v>
      </c>
      <c r="Y52" s="26" t="str">
        <f t="shared" si="22"/>
        <v>OK</v>
      </c>
      <c r="Z52" s="26">
        <f t="shared" si="1"/>
        <v>29.310942231759476</v>
      </c>
      <c r="AA52" s="26">
        <f t="shared" si="23"/>
        <v>150.64200000000002</v>
      </c>
      <c r="AB52" s="26">
        <f t="shared" si="24"/>
        <v>111.15238729139661</v>
      </c>
      <c r="AC52" s="26">
        <f t="shared" si="2"/>
        <v>49.489612708603417</v>
      </c>
      <c r="AD52" s="26">
        <f t="shared" si="25"/>
        <v>128.50695288206782</v>
      </c>
      <c r="AE52" s="31">
        <f t="shared" si="26"/>
        <v>-0.77191162365620447</v>
      </c>
      <c r="AF52" s="25">
        <f t="shared" si="27"/>
        <v>0</v>
      </c>
      <c r="AG52" s="26">
        <f t="shared" si="28"/>
        <v>0</v>
      </c>
      <c r="AH52" s="26">
        <f t="shared" si="29"/>
        <v>39.024926464612349</v>
      </c>
      <c r="AI52" s="25">
        <f t="shared" si="30"/>
        <v>0</v>
      </c>
    </row>
    <row r="53" spans="1:35" x14ac:dyDescent="0.35">
      <c r="A53" s="25">
        <v>26</v>
      </c>
      <c r="B53" s="26" t="str">
        <f t="shared" si="0"/>
        <v>Quarter 26</v>
      </c>
      <c r="C53" s="27">
        <f>Case2B_Ruin_ChangingRates!C53</f>
        <v>99.5</v>
      </c>
      <c r="D53" s="28">
        <f>Case2B_Ruin_ChangingRates!D53</f>
        <v>0.53569999999999995</v>
      </c>
      <c r="E53" s="28">
        <f>Case2B_Ruin_ChangingRates!E53</f>
        <v>0.1171</v>
      </c>
      <c r="F53" s="29">
        <f t="shared" si="3"/>
        <v>0.18891145895566974</v>
      </c>
      <c r="G53" s="25">
        <f t="shared" si="4"/>
        <v>1</v>
      </c>
      <c r="H53" s="26">
        <f t="shared" si="5"/>
        <v>39.024926464612349</v>
      </c>
      <c r="I53" s="26">
        <f t="shared" si="6"/>
        <v>7.3722557940676454</v>
      </c>
      <c r="J53" s="26">
        <f t="shared" si="7"/>
        <v>0.29268694848459259</v>
      </c>
      <c r="K53" s="26">
        <f t="shared" si="8"/>
        <v>0.28437688841676784</v>
      </c>
      <c r="L53" s="26">
        <f t="shared" si="9"/>
        <v>7.3805658541354706</v>
      </c>
      <c r="M53" s="26">
        <f t="shared" si="10"/>
        <v>46.397182258679997</v>
      </c>
      <c r="N53" s="26">
        <f t="shared" si="11"/>
        <v>9.7056741727850486</v>
      </c>
      <c r="O53" s="26">
        <f t="shared" si="12"/>
        <v>36.691508085894952</v>
      </c>
      <c r="P53" s="26">
        <f t="shared" si="13"/>
        <v>24.854970535974871</v>
      </c>
      <c r="Q53" s="26">
        <f t="shared" si="14"/>
        <v>0</v>
      </c>
      <c r="R53" s="26">
        <f t="shared" si="15"/>
        <v>0</v>
      </c>
      <c r="S53" s="26">
        <f t="shared" si="16"/>
        <v>0</v>
      </c>
      <c r="T53" s="26">
        <f t="shared" si="17"/>
        <v>0</v>
      </c>
      <c r="U53" s="26">
        <f t="shared" si="18"/>
        <v>36.691508085894952</v>
      </c>
      <c r="V53" s="26">
        <f t="shared" si="19"/>
        <v>9.7056741727850486</v>
      </c>
      <c r="W53" s="26">
        <f t="shared" si="20"/>
        <v>0</v>
      </c>
      <c r="X53" s="25">
        <f t="shared" si="21"/>
        <v>1</v>
      </c>
      <c r="Y53" s="26" t="str">
        <f t="shared" si="22"/>
        <v>OK</v>
      </c>
      <c r="Z53" s="26">
        <f t="shared" si="1"/>
        <v>36.691508085894952</v>
      </c>
      <c r="AA53" s="26">
        <f t="shared" si="23"/>
        <v>179.10000000000002</v>
      </c>
      <c r="AB53" s="26">
        <f t="shared" si="24"/>
        <v>113.27655842935225</v>
      </c>
      <c r="AC53" s="26">
        <f t="shared" si="2"/>
        <v>75.823441570647773</v>
      </c>
      <c r="AD53" s="26">
        <f t="shared" si="25"/>
        <v>128.50695288206782</v>
      </c>
      <c r="AE53" s="31">
        <f t="shared" si="26"/>
        <v>-0.71447842110483206</v>
      </c>
      <c r="AF53" s="25">
        <f t="shared" si="27"/>
        <v>0</v>
      </c>
      <c r="AG53" s="26">
        <f t="shared" si="28"/>
        <v>0</v>
      </c>
      <c r="AH53" s="26">
        <f t="shared" si="29"/>
        <v>46.397182258679997</v>
      </c>
      <c r="AI53" s="25">
        <f t="shared" si="30"/>
        <v>0</v>
      </c>
    </row>
    <row r="54" spans="1:35" x14ac:dyDescent="0.35">
      <c r="A54" s="25">
        <v>27</v>
      </c>
      <c r="B54" s="26" t="str">
        <f t="shared" si="0"/>
        <v>Quarter 27</v>
      </c>
      <c r="C54" s="27">
        <f>Case2B_Ruin_ChangingRates!C54</f>
        <v>116.31</v>
      </c>
      <c r="D54" s="28">
        <f>Case2B_Ruin_ChangingRates!D54</f>
        <v>0.51429999999999998</v>
      </c>
      <c r="E54" s="28">
        <f>Case2B_Ruin_ChangingRates!E54</f>
        <v>0.1129</v>
      </c>
      <c r="F54" s="29">
        <f t="shared" si="3"/>
        <v>0.16894472361809054</v>
      </c>
      <c r="G54" s="25">
        <f t="shared" si="4"/>
        <v>1</v>
      </c>
      <c r="H54" s="26">
        <f t="shared" si="5"/>
        <v>46.397182258679997</v>
      </c>
      <c r="I54" s="26">
        <f t="shared" si="6"/>
        <v>7.8385591333508664</v>
      </c>
      <c r="J54" s="26">
        <f t="shared" si="7"/>
        <v>0.34797886694009994</v>
      </c>
      <c r="K54" s="26">
        <f t="shared" si="8"/>
        <v>0.27394265352685798</v>
      </c>
      <c r="L54" s="26">
        <f t="shared" si="9"/>
        <v>7.9125953467641077</v>
      </c>
      <c r="M54" s="26">
        <f t="shared" si="10"/>
        <v>54.23574139203086</v>
      </c>
      <c r="N54" s="26">
        <f t="shared" si="11"/>
        <v>9.6316379593718064</v>
      </c>
      <c r="O54" s="26">
        <f t="shared" si="12"/>
        <v>44.604103432659052</v>
      </c>
      <c r="P54" s="26">
        <f t="shared" si="13"/>
        <v>27.893441797921469</v>
      </c>
      <c r="Q54" s="26">
        <f t="shared" si="14"/>
        <v>0</v>
      </c>
      <c r="R54" s="26">
        <f t="shared" si="15"/>
        <v>0</v>
      </c>
      <c r="S54" s="26">
        <f t="shared" si="16"/>
        <v>0</v>
      </c>
      <c r="T54" s="26">
        <f t="shared" si="17"/>
        <v>0</v>
      </c>
      <c r="U54" s="26">
        <f t="shared" si="18"/>
        <v>44.604103432659052</v>
      </c>
      <c r="V54" s="26">
        <f t="shared" si="19"/>
        <v>9.6316379593718064</v>
      </c>
      <c r="W54" s="26">
        <f t="shared" si="20"/>
        <v>0</v>
      </c>
      <c r="X54" s="25">
        <f t="shared" si="21"/>
        <v>1</v>
      </c>
      <c r="Y54" s="26" t="str">
        <f t="shared" si="22"/>
        <v>OK</v>
      </c>
      <c r="Z54" s="26">
        <f t="shared" si="1"/>
        <v>44.604103432659052</v>
      </c>
      <c r="AA54" s="26">
        <f t="shared" si="23"/>
        <v>209.35800000000003</v>
      </c>
      <c r="AB54" s="26">
        <f t="shared" si="24"/>
        <v>115.13053929102071</v>
      </c>
      <c r="AC54" s="26">
        <f t="shared" si="2"/>
        <v>104.22746070897932</v>
      </c>
      <c r="AD54" s="26">
        <f t="shared" si="25"/>
        <v>128.50695288206782</v>
      </c>
      <c r="AE54" s="31">
        <f t="shared" si="26"/>
        <v>-0.65290513522958782</v>
      </c>
      <c r="AF54" s="25">
        <f t="shared" si="27"/>
        <v>0</v>
      </c>
      <c r="AG54" s="26">
        <f t="shared" si="28"/>
        <v>0</v>
      </c>
      <c r="AH54" s="26">
        <f t="shared" si="29"/>
        <v>54.23574139203086</v>
      </c>
      <c r="AI54" s="25">
        <f t="shared" si="30"/>
        <v>0</v>
      </c>
    </row>
    <row r="55" spans="1:35" x14ac:dyDescent="0.35">
      <c r="A55" s="25">
        <v>28</v>
      </c>
      <c r="B55" s="26" t="str">
        <f t="shared" si="0"/>
        <v>Quarter 28</v>
      </c>
      <c r="C55" s="27">
        <f>Case2B_Ruin_ChangingRates!C55</f>
        <v>130.96</v>
      </c>
      <c r="D55" s="28">
        <f>Case2B_Ruin_ChangingRates!D55</f>
        <v>0.49380000000000002</v>
      </c>
      <c r="E55" s="28">
        <f>Case2B_Ruin_ChangingRates!E55</f>
        <v>0.10879999999999999</v>
      </c>
      <c r="F55" s="29">
        <f t="shared" si="3"/>
        <v>0.12595649557217792</v>
      </c>
      <c r="G55" s="25">
        <f t="shared" si="4"/>
        <v>1</v>
      </c>
      <c r="H55" s="26">
        <f t="shared" si="5"/>
        <v>54.23574139203086</v>
      </c>
      <c r="I55" s="26">
        <f t="shared" si="6"/>
        <v>6.8313439204991218</v>
      </c>
      <c r="J55" s="26">
        <f t="shared" si="7"/>
        <v>0.40676806044023145</v>
      </c>
      <c r="K55" s="26">
        <f t="shared" si="8"/>
        <v>0.26198055249491314</v>
      </c>
      <c r="L55" s="26">
        <f t="shared" si="9"/>
        <v>6.9761314284444396</v>
      </c>
      <c r="M55" s="26">
        <f t="shared" si="10"/>
        <v>61.067085312529983</v>
      </c>
      <c r="N55" s="26">
        <f t="shared" si="11"/>
        <v>9.4868504514264878</v>
      </c>
      <c r="O55" s="26">
        <f t="shared" si="12"/>
        <v>51.580234861103492</v>
      </c>
      <c r="P55" s="26">
        <f t="shared" si="13"/>
        <v>30.154926727327307</v>
      </c>
      <c r="Q55" s="26">
        <f t="shared" si="14"/>
        <v>0</v>
      </c>
      <c r="R55" s="26">
        <f t="shared" si="15"/>
        <v>0</v>
      </c>
      <c r="S55" s="26">
        <f t="shared" si="16"/>
        <v>0</v>
      </c>
      <c r="T55" s="26">
        <f t="shared" si="17"/>
        <v>0</v>
      </c>
      <c r="U55" s="26">
        <f t="shared" si="18"/>
        <v>51.580234861103492</v>
      </c>
      <c r="V55" s="26">
        <f t="shared" si="19"/>
        <v>9.4868504514264878</v>
      </c>
      <c r="W55" s="26">
        <f t="shared" si="20"/>
        <v>0</v>
      </c>
      <c r="X55" s="25">
        <f t="shared" si="21"/>
        <v>1</v>
      </c>
      <c r="Y55" s="26" t="str">
        <f t="shared" si="22"/>
        <v>OK</v>
      </c>
      <c r="Z55" s="26">
        <f t="shared" si="1"/>
        <v>51.580234861103492</v>
      </c>
      <c r="AA55" s="26">
        <f t="shared" si="23"/>
        <v>235.72800000000007</v>
      </c>
      <c r="AB55" s="26">
        <f t="shared" si="24"/>
        <v>116.69190495973646</v>
      </c>
      <c r="AC55" s="26">
        <f t="shared" si="2"/>
        <v>129.0360950402636</v>
      </c>
      <c r="AD55" s="26">
        <f t="shared" si="25"/>
        <v>128.50695288206782</v>
      </c>
      <c r="AE55" s="31">
        <f t="shared" si="26"/>
        <v>-0.5986191120068094</v>
      </c>
      <c r="AF55" s="25">
        <f t="shared" si="27"/>
        <v>0</v>
      </c>
      <c r="AG55" s="26">
        <f t="shared" si="28"/>
        <v>0</v>
      </c>
      <c r="AH55" s="26">
        <f t="shared" si="29"/>
        <v>61.067085312529983</v>
      </c>
      <c r="AI55" s="25">
        <f t="shared" si="30"/>
        <v>0</v>
      </c>
    </row>
    <row r="56" spans="1:35" x14ac:dyDescent="0.35">
      <c r="A56" s="25">
        <v>29</v>
      </c>
      <c r="B56" s="26" t="str">
        <f t="shared" si="0"/>
        <v>Quarter 29</v>
      </c>
      <c r="C56" s="27">
        <f>Case2B_Ruin_ChangingRates!C56</f>
        <v>144.53</v>
      </c>
      <c r="D56" s="28">
        <f>Case2B_Ruin_ChangingRates!D56</f>
        <v>0.47589999999999999</v>
      </c>
      <c r="E56" s="28">
        <f>Case2B_Ruin_ChangingRates!E56</f>
        <v>0.1052</v>
      </c>
      <c r="F56" s="29">
        <f t="shared" si="3"/>
        <v>0.10361942577886363</v>
      </c>
      <c r="G56" s="25">
        <f t="shared" si="4"/>
        <v>1</v>
      </c>
      <c r="H56" s="26">
        <f t="shared" si="5"/>
        <v>61.067085312529983</v>
      </c>
      <c r="I56" s="26">
        <f t="shared" si="6"/>
        <v>6.3277363140732339</v>
      </c>
      <c r="J56" s="26">
        <f t="shared" si="7"/>
        <v>0.45800313984397484</v>
      </c>
      <c r="K56" s="26">
        <f t="shared" si="8"/>
        <v>0.24950416687251664</v>
      </c>
      <c r="L56" s="26">
        <f t="shared" si="9"/>
        <v>6.5362352870446925</v>
      </c>
      <c r="M56" s="26">
        <f t="shared" si="10"/>
        <v>67.394821626603218</v>
      </c>
      <c r="N56" s="26">
        <f t="shared" si="11"/>
        <v>9.2783514784550292</v>
      </c>
      <c r="O56" s="26">
        <f t="shared" si="12"/>
        <v>58.116470148148188</v>
      </c>
      <c r="P56" s="26">
        <f t="shared" si="13"/>
        <v>32.07319561210047</v>
      </c>
      <c r="Q56" s="26">
        <f t="shared" si="14"/>
        <v>0</v>
      </c>
      <c r="R56" s="26">
        <f t="shared" si="15"/>
        <v>0</v>
      </c>
      <c r="S56" s="26">
        <f t="shared" si="16"/>
        <v>0</v>
      </c>
      <c r="T56" s="26">
        <f t="shared" si="17"/>
        <v>0</v>
      </c>
      <c r="U56" s="26">
        <f t="shared" si="18"/>
        <v>58.116470148148188</v>
      </c>
      <c r="V56" s="26">
        <f t="shared" si="19"/>
        <v>9.2783514784550292</v>
      </c>
      <c r="W56" s="26">
        <f t="shared" si="20"/>
        <v>0</v>
      </c>
      <c r="X56" s="25">
        <f t="shared" si="21"/>
        <v>1</v>
      </c>
      <c r="Y56" s="26" t="str">
        <f t="shared" si="22"/>
        <v>OK</v>
      </c>
      <c r="Z56" s="26">
        <f t="shared" si="1"/>
        <v>58.116470148148188</v>
      </c>
      <c r="AA56" s="26">
        <f t="shared" si="23"/>
        <v>260.15400000000005</v>
      </c>
      <c r="AB56" s="26">
        <f t="shared" si="24"/>
        <v>117.99294206017753</v>
      </c>
      <c r="AC56" s="26">
        <f t="shared" si="2"/>
        <v>152.16105793982251</v>
      </c>
      <c r="AD56" s="26">
        <f t="shared" si="25"/>
        <v>128.50695288206782</v>
      </c>
      <c r="AE56" s="31">
        <f t="shared" si="26"/>
        <v>-0.54775621984063161</v>
      </c>
      <c r="AF56" s="25">
        <f t="shared" si="27"/>
        <v>0</v>
      </c>
      <c r="AG56" s="26">
        <f t="shared" si="28"/>
        <v>0</v>
      </c>
      <c r="AH56" s="26">
        <f t="shared" si="29"/>
        <v>67.394821626603218</v>
      </c>
      <c r="AI56" s="25">
        <f t="shared" si="30"/>
        <v>0</v>
      </c>
    </row>
    <row r="57" spans="1:35" x14ac:dyDescent="0.35">
      <c r="A57" s="25">
        <v>30</v>
      </c>
      <c r="B57" s="26" t="str">
        <f t="shared" si="0"/>
        <v>Quarter 30</v>
      </c>
      <c r="C57" s="27">
        <f>Case2B_Ruin_ChangingRates!C57</f>
        <v>154.54</v>
      </c>
      <c r="D57" s="28">
        <f>Case2B_Ruin_ChangingRates!D57</f>
        <v>0.46189999999999998</v>
      </c>
      <c r="E57" s="28">
        <f>Case2B_Ruin_ChangingRates!E57</f>
        <v>0.1024</v>
      </c>
      <c r="F57" s="29">
        <f t="shared" si="3"/>
        <v>6.9258977374939468E-2</v>
      </c>
      <c r="G57" s="25">
        <f t="shared" si="4"/>
        <v>1</v>
      </c>
      <c r="H57" s="26">
        <f t="shared" si="5"/>
        <v>67.394821626603218</v>
      </c>
      <c r="I57" s="26">
        <f t="shared" si="6"/>
        <v>4.6676964262249934</v>
      </c>
      <c r="J57" s="26">
        <f t="shared" si="7"/>
        <v>0.50546116219952408</v>
      </c>
      <c r="K57" s="26">
        <f t="shared" si="8"/>
        <v>0.23752579784844877</v>
      </c>
      <c r="L57" s="26">
        <f t="shared" si="9"/>
        <v>4.9356317905760694</v>
      </c>
      <c r="M57" s="26">
        <f t="shared" si="10"/>
        <v>72.06251805282821</v>
      </c>
      <c r="N57" s="26">
        <f t="shared" si="11"/>
        <v>9.010416114103954</v>
      </c>
      <c r="O57" s="26">
        <f t="shared" si="12"/>
        <v>63.052101938724256</v>
      </c>
      <c r="P57" s="26">
        <f t="shared" si="13"/>
        <v>33.285677088601346</v>
      </c>
      <c r="Q57" s="26">
        <f t="shared" si="14"/>
        <v>0</v>
      </c>
      <c r="R57" s="26">
        <f t="shared" si="15"/>
        <v>0</v>
      </c>
      <c r="S57" s="26">
        <f t="shared" si="16"/>
        <v>0</v>
      </c>
      <c r="T57" s="26">
        <f t="shared" si="17"/>
        <v>0</v>
      </c>
      <c r="U57" s="26">
        <f t="shared" si="18"/>
        <v>63.052101938724256</v>
      </c>
      <c r="V57" s="26">
        <f t="shared" si="19"/>
        <v>9.010416114103954</v>
      </c>
      <c r="W57" s="26">
        <f t="shared" si="20"/>
        <v>0</v>
      </c>
      <c r="X57" s="25">
        <f t="shared" si="21"/>
        <v>1</v>
      </c>
      <c r="Y57" s="26" t="str">
        <f t="shared" si="22"/>
        <v>OK</v>
      </c>
      <c r="Z57" s="26">
        <f t="shared" si="1"/>
        <v>63.052101938724256</v>
      </c>
      <c r="AA57" s="26">
        <f t="shared" si="23"/>
        <v>278.17200000000008</v>
      </c>
      <c r="AB57" s="26">
        <f t="shared" si="24"/>
        <v>119.06240637691808</v>
      </c>
      <c r="AC57" s="26">
        <f t="shared" si="2"/>
        <v>169.10959362308199</v>
      </c>
      <c r="AD57" s="26">
        <f t="shared" si="25"/>
        <v>128.50695288206782</v>
      </c>
      <c r="AE57" s="31">
        <f t="shared" si="26"/>
        <v>-0.50934871207639776</v>
      </c>
      <c r="AF57" s="25">
        <f t="shared" si="27"/>
        <v>0</v>
      </c>
      <c r="AG57" s="26">
        <f t="shared" si="28"/>
        <v>0</v>
      </c>
      <c r="AH57" s="26">
        <f t="shared" si="29"/>
        <v>72.06251805282821</v>
      </c>
      <c r="AI57" s="25">
        <f t="shared" si="30"/>
        <v>0</v>
      </c>
    </row>
    <row r="58" spans="1:35" x14ac:dyDescent="0.35">
      <c r="A58" s="25">
        <v>31</v>
      </c>
      <c r="B58" s="26" t="str">
        <f t="shared" si="0"/>
        <v>Quarter 31</v>
      </c>
      <c r="C58" s="27">
        <f>Case2B_Ruin_ChangingRates!C58</f>
        <v>162.99</v>
      </c>
      <c r="D58" s="28">
        <f>Case2B_Ruin_ChangingRates!D58</f>
        <v>0.45300000000000001</v>
      </c>
      <c r="E58" s="28">
        <f>Case2B_Ruin_ChangingRates!E58</f>
        <v>0.10059999999999999</v>
      </c>
      <c r="F58" s="29">
        <f t="shared" si="3"/>
        <v>5.46784004141323E-2</v>
      </c>
      <c r="G58" s="25">
        <f t="shared" si="4"/>
        <v>1</v>
      </c>
      <c r="H58" s="26">
        <f t="shared" si="5"/>
        <v>72.06251805282821</v>
      </c>
      <c r="I58" s="26">
        <f t="shared" si="6"/>
        <v>3.9402632169431784</v>
      </c>
      <c r="J58" s="26">
        <f t="shared" si="7"/>
        <v>0.54046888539621152</v>
      </c>
      <c r="K58" s="26">
        <f t="shared" si="8"/>
        <v>0.22661196526971444</v>
      </c>
      <c r="L58" s="26">
        <f t="shared" si="9"/>
        <v>4.254120137069676</v>
      </c>
      <c r="M58" s="26">
        <f t="shared" si="10"/>
        <v>76.00278126977139</v>
      </c>
      <c r="N58" s="26">
        <f t="shared" si="11"/>
        <v>8.6965591939774569</v>
      </c>
      <c r="O58" s="26">
        <f t="shared" si="12"/>
        <v>67.306222075793926</v>
      </c>
      <c r="P58" s="26">
        <f t="shared" si="13"/>
        <v>34.429259915206444</v>
      </c>
      <c r="Q58" s="26">
        <f t="shared" si="14"/>
        <v>0</v>
      </c>
      <c r="R58" s="26">
        <f t="shared" si="15"/>
        <v>0</v>
      </c>
      <c r="S58" s="26">
        <f t="shared" si="16"/>
        <v>0</v>
      </c>
      <c r="T58" s="26">
        <f t="shared" si="17"/>
        <v>0</v>
      </c>
      <c r="U58" s="26">
        <f t="shared" si="18"/>
        <v>67.306222075793926</v>
      </c>
      <c r="V58" s="26">
        <f t="shared" si="19"/>
        <v>8.6965591939774569</v>
      </c>
      <c r="W58" s="26">
        <f t="shared" si="20"/>
        <v>0</v>
      </c>
      <c r="X58" s="25">
        <f t="shared" si="21"/>
        <v>1</v>
      </c>
      <c r="Y58" s="26" t="str">
        <f t="shared" si="22"/>
        <v>OK</v>
      </c>
      <c r="Z58" s="26">
        <f t="shared" si="1"/>
        <v>67.306222075793926</v>
      </c>
      <c r="AA58" s="26">
        <f t="shared" si="23"/>
        <v>293.38200000000012</v>
      </c>
      <c r="AB58" s="26">
        <f t="shared" si="24"/>
        <v>119.97053589729757</v>
      </c>
      <c r="AC58" s="26">
        <f t="shared" si="2"/>
        <v>183.41146410270255</v>
      </c>
      <c r="AD58" s="26">
        <f t="shared" si="25"/>
        <v>128.50695288206782</v>
      </c>
      <c r="AE58" s="31">
        <f t="shared" si="26"/>
        <v>-0.47624450999502299</v>
      </c>
      <c r="AF58" s="25">
        <f t="shared" si="27"/>
        <v>0</v>
      </c>
      <c r="AG58" s="26">
        <f t="shared" si="28"/>
        <v>0</v>
      </c>
      <c r="AH58" s="26">
        <f t="shared" si="29"/>
        <v>76.00278126977139</v>
      </c>
      <c r="AI58" s="25">
        <f t="shared" si="30"/>
        <v>0</v>
      </c>
    </row>
    <row r="59" spans="1:35" x14ac:dyDescent="0.35">
      <c r="A59" s="25">
        <v>32</v>
      </c>
      <c r="B59" s="26" t="str">
        <f t="shared" si="0"/>
        <v>Quarter 32</v>
      </c>
      <c r="C59" s="27">
        <f>Case2B_Ruin_ChangingRates!C59</f>
        <v>165</v>
      </c>
      <c r="D59" s="28">
        <f>Case2B_Ruin_ChangingRates!D59</f>
        <v>0.45</v>
      </c>
      <c r="E59" s="28">
        <f>Case2B_Ruin_ChangingRates!E59</f>
        <v>0.1</v>
      </c>
      <c r="F59" s="29">
        <f t="shared" si="3"/>
        <v>1.23320449107307E-2</v>
      </c>
      <c r="G59" s="25">
        <f t="shared" si="4"/>
        <v>1</v>
      </c>
      <c r="H59" s="26">
        <f t="shared" si="5"/>
        <v>76.00278126977139</v>
      </c>
      <c r="I59" s="26">
        <f t="shared" si="6"/>
        <v>0.93726971195926279</v>
      </c>
      <c r="J59" s="26">
        <f t="shared" si="7"/>
        <v>0.57002085952328541</v>
      </c>
      <c r="K59" s="26">
        <f t="shared" si="8"/>
        <v>0.21741397984943645</v>
      </c>
      <c r="L59" s="26">
        <f t="shared" si="9"/>
        <v>1.2898765916331119</v>
      </c>
      <c r="M59" s="26">
        <f t="shared" si="10"/>
        <v>76.94005098173065</v>
      </c>
      <c r="N59" s="26">
        <f t="shared" si="11"/>
        <v>8.343952314303607</v>
      </c>
      <c r="O59" s="26">
        <f t="shared" si="12"/>
        <v>68.596098667427043</v>
      </c>
      <c r="P59" s="26">
        <f t="shared" si="13"/>
        <v>34.623022941778792</v>
      </c>
      <c r="Q59" s="26">
        <f t="shared" si="14"/>
        <v>0</v>
      </c>
      <c r="R59" s="26">
        <f t="shared" si="15"/>
        <v>0</v>
      </c>
      <c r="S59" s="26">
        <f t="shared" si="16"/>
        <v>0</v>
      </c>
      <c r="T59" s="26">
        <f t="shared" si="17"/>
        <v>0</v>
      </c>
      <c r="U59" s="26">
        <f t="shared" si="18"/>
        <v>68.596098667427043</v>
      </c>
      <c r="V59" s="26">
        <f t="shared" si="19"/>
        <v>8.343952314303607</v>
      </c>
      <c r="W59" s="26">
        <f t="shared" si="20"/>
        <v>0</v>
      </c>
      <c r="X59" s="25">
        <f t="shared" si="21"/>
        <v>1</v>
      </c>
      <c r="Y59" s="26" t="str">
        <f t="shared" si="22"/>
        <v>OK</v>
      </c>
      <c r="Z59" s="26">
        <f t="shared" si="1"/>
        <v>68.596098667427043</v>
      </c>
      <c r="AA59" s="26">
        <f t="shared" si="23"/>
        <v>297.00000000000011</v>
      </c>
      <c r="AB59" s="26">
        <f t="shared" si="24"/>
        <v>120.76943429472999</v>
      </c>
      <c r="AC59" s="26">
        <f t="shared" si="2"/>
        <v>186.23056570527012</v>
      </c>
      <c r="AD59" s="26">
        <f t="shared" si="25"/>
        <v>128.50695288206782</v>
      </c>
      <c r="AE59" s="31">
        <f t="shared" si="26"/>
        <v>-0.46620710296991941</v>
      </c>
      <c r="AF59" s="25">
        <f t="shared" si="27"/>
        <v>0</v>
      </c>
      <c r="AG59" s="26">
        <f t="shared" si="28"/>
        <v>0</v>
      </c>
      <c r="AH59" s="26">
        <f t="shared" si="29"/>
        <v>76.94005098173065</v>
      </c>
      <c r="AI59" s="25">
        <f t="shared" si="30"/>
        <v>0</v>
      </c>
    </row>
  </sheetData>
  <mergeCells count="38">
    <mergeCell ref="D7:F7"/>
    <mergeCell ref="D16:F16"/>
    <mergeCell ref="A23:C23"/>
    <mergeCell ref="A8:C8"/>
    <mergeCell ref="A14:C14"/>
    <mergeCell ref="A22:C22"/>
    <mergeCell ref="D12:F12"/>
    <mergeCell ref="A17:C17"/>
    <mergeCell ref="D18:F18"/>
    <mergeCell ref="D9:F9"/>
    <mergeCell ref="D8:F8"/>
    <mergeCell ref="D11:F11"/>
    <mergeCell ref="D13:F13"/>
    <mergeCell ref="A18:C18"/>
    <mergeCell ref="D17:F17"/>
    <mergeCell ref="A21:C21"/>
    <mergeCell ref="A20:C20"/>
    <mergeCell ref="A10:C10"/>
    <mergeCell ref="A13:C13"/>
    <mergeCell ref="D14:F14"/>
    <mergeCell ref="A19:C19"/>
    <mergeCell ref="A12:C12"/>
    <mergeCell ref="A3:Q3"/>
    <mergeCell ref="D23:F23"/>
    <mergeCell ref="A9:C9"/>
    <mergeCell ref="A15:C15"/>
    <mergeCell ref="D20:F20"/>
    <mergeCell ref="D10:F10"/>
    <mergeCell ref="D19:F19"/>
    <mergeCell ref="A11:C11"/>
    <mergeCell ref="A6:C6"/>
    <mergeCell ref="D22:F22"/>
    <mergeCell ref="D21:F21"/>
    <mergeCell ref="A7:C7"/>
    <mergeCell ref="D6:F6"/>
    <mergeCell ref="A16:C16"/>
    <mergeCell ref="A4:C4"/>
    <mergeCell ref="D15:F15"/>
  </mergeCells>
  <conditionalFormatting sqref="A27:AI59">
    <cfRule type="expression" dxfId="7" priority="3">
      <formula>LEFT($Y27,7)="DEFAULT"</formula>
    </cfRule>
    <cfRule type="expression" dxfId="6" priority="4">
      <formula>LEFT($Y27,6)="Shares"</formula>
    </cfRule>
    <cfRule type="expression" dxfId="5" priority="5">
      <formula>LEFT($Y27,6)="Margin"</formula>
    </cfRule>
    <cfRule type="expression" dxfId="4" priority="6">
      <formula>LEFT($Y27,10)="Liquidated"</formula>
    </cfRule>
  </conditionalFormatting>
  <conditionalFormatting sqref="D14">
    <cfRule type="expression" dxfId="3" priority="1">
      <formula>LEFT($D$14,4)="RUIN"</formula>
    </cfRule>
    <cfRule type="expression" dxfId="2" priority="2">
      <formula>LEFT($D$14,4)="SURV"</formula>
    </cfRule>
  </conditionalFormatting>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25"/>
  <sheetViews>
    <sheetView showGridLines="0" tabSelected="1" zoomScale="50" zoomScaleNormal="50" workbookViewId="0">
      <selection activeCell="H3" sqref="H3"/>
    </sheetView>
  </sheetViews>
  <sheetFormatPr defaultRowHeight="14.5" x14ac:dyDescent="0.35"/>
  <cols>
    <col min="1" max="1" width="2" customWidth="1"/>
    <col min="2" max="2" width="42" customWidth="1"/>
    <col min="3" max="6" width="30" customWidth="1"/>
  </cols>
  <sheetData>
    <row r="1" spans="2:6" ht="19" x14ac:dyDescent="0.45">
      <c r="B1" s="1" t="s">
        <v>148</v>
      </c>
    </row>
    <row r="2" spans="2:6" x14ac:dyDescent="0.35">
      <c r="B2" s="2" t="s">
        <v>149</v>
      </c>
    </row>
    <row r="4" spans="2:6" ht="32" customHeight="1" x14ac:dyDescent="0.35">
      <c r="B4" s="6" t="s">
        <v>150</v>
      </c>
      <c r="C4" s="6" t="s">
        <v>151</v>
      </c>
      <c r="D4" s="6" t="s">
        <v>152</v>
      </c>
      <c r="E4" s="6" t="s">
        <v>153</v>
      </c>
      <c r="F4" s="6" t="s">
        <v>154</v>
      </c>
    </row>
    <row r="5" spans="2:6" x14ac:dyDescent="0.35">
      <c r="B5" s="7" t="s">
        <v>90</v>
      </c>
      <c r="C5" s="34">
        <f>Case1_Calm!D6</f>
        <v>110</v>
      </c>
      <c r="D5" s="34">
        <f>Case2A_Ruin_ConstRates!D6</f>
        <v>110</v>
      </c>
      <c r="E5" s="34">
        <f>Case2B_Ruin_ChangingRates!D6</f>
        <v>110</v>
      </c>
      <c r="F5" s="34">
        <f>Case2C_Changing_SellToFund!D6</f>
        <v>110</v>
      </c>
    </row>
    <row r="6" spans="2:6" x14ac:dyDescent="0.35">
      <c r="B6" s="7" t="s">
        <v>91</v>
      </c>
      <c r="C6" s="34">
        <f>Case1_Calm!D7</f>
        <v>231.13294419487346</v>
      </c>
      <c r="D6" s="34">
        <f>Case2A_Ruin_ConstRates!D7</f>
        <v>13.967566650647196</v>
      </c>
      <c r="E6" s="34">
        <f>Case2B_Ruin_ChangingRates!D7</f>
        <v>26.306902610070704</v>
      </c>
      <c r="F6" s="34">
        <f>Case2C_Changing_SellToFund!D7</f>
        <v>68.596098667427043</v>
      </c>
    </row>
    <row r="7" spans="2:6" x14ac:dyDescent="0.35">
      <c r="B7" s="7" t="s">
        <v>92</v>
      </c>
      <c r="C7" s="35">
        <f>Case1_Calm!D8</f>
        <v>1.1012085835897589</v>
      </c>
      <c r="D7" s="35">
        <f>Case2A_Ruin_ConstRates!D8</f>
        <v>-0.8730221213577527</v>
      </c>
      <c r="E7" s="35">
        <f>Case2B_Ruin_ChangingRates!D8</f>
        <v>-0.76084633990844819</v>
      </c>
      <c r="F7" s="35">
        <f>Case2C_Changing_SellToFund!D8</f>
        <v>-0.37639910302339052</v>
      </c>
    </row>
    <row r="8" spans="2:6" x14ac:dyDescent="0.35">
      <c r="B8" s="7" t="s">
        <v>93</v>
      </c>
      <c r="C8" s="35">
        <f>Case1_Calm!D9</f>
        <v>-4.0775295032166037E-3</v>
      </c>
      <c r="D8" s="35">
        <f>Case2A_Ruin_ConstRates!D9</f>
        <v>-0.8730221213577527</v>
      </c>
      <c r="E8" s="35">
        <f>Case2B_Ruin_ChangingRates!D9</f>
        <v>-0.79528809904773934</v>
      </c>
      <c r="F8" s="35">
        <f>Case2C_Changing_SellToFund!D9</f>
        <v>-0.89114129730136526</v>
      </c>
    </row>
    <row r="9" spans="2:6" x14ac:dyDescent="0.35">
      <c r="B9" s="7" t="s">
        <v>94</v>
      </c>
      <c r="C9" s="36">
        <f>Case1_Calm!D10</f>
        <v>0</v>
      </c>
      <c r="D9" s="36">
        <f>Case2A_Ruin_ConstRates!D10</f>
        <v>1</v>
      </c>
      <c r="E9" s="36">
        <f>Case2B_Ruin_ChangingRates!D10</f>
        <v>4</v>
      </c>
      <c r="F9" s="36">
        <f>Case2C_Changing_SellToFund!D10</f>
        <v>7</v>
      </c>
    </row>
    <row r="10" spans="2:6" x14ac:dyDescent="0.35">
      <c r="B10" s="7" t="s">
        <v>95</v>
      </c>
      <c r="C10" s="34">
        <f>Case1_Calm!D11</f>
        <v>0</v>
      </c>
      <c r="D10" s="34">
        <f>Case2A_Ruin_ConstRates!D11</f>
        <v>10</v>
      </c>
      <c r="E10" s="34">
        <f>Case2B_Ruin_ChangingRates!D11</f>
        <v>10</v>
      </c>
      <c r="F10" s="34">
        <f>Case2C_Changing_SellToFund!D11</f>
        <v>10</v>
      </c>
    </row>
    <row r="11" spans="2:6" x14ac:dyDescent="0.35">
      <c r="B11" s="7" t="s">
        <v>96</v>
      </c>
      <c r="C11" s="34">
        <f>Case1_Calm!D12</f>
        <v>10</v>
      </c>
      <c r="D11" s="34">
        <f>Case2A_Ruin_ConstRates!D12</f>
        <v>0</v>
      </c>
      <c r="E11" s="34">
        <f>Case2B_Ruin_ChangingRates!D12</f>
        <v>0</v>
      </c>
      <c r="F11" s="34">
        <f>Case2C_Changing_SellToFund!D12</f>
        <v>0</v>
      </c>
    </row>
    <row r="12" spans="2:6" x14ac:dyDescent="0.35">
      <c r="B12" s="7" t="s">
        <v>97</v>
      </c>
      <c r="C12" s="36" t="str">
        <f>Case1_Calm!D13</f>
        <v>None</v>
      </c>
      <c r="D12" s="36">
        <f>Case2A_Ruin_ConstRates!D13</f>
        <v>6</v>
      </c>
      <c r="E12" s="36">
        <f>Case2B_Ruin_ChangingRates!D13</f>
        <v>18</v>
      </c>
      <c r="F12" s="36" t="str">
        <f>Case2C_Changing_SellToFund!D13</f>
        <v>None</v>
      </c>
    </row>
    <row r="13" spans="2:6" x14ac:dyDescent="0.35">
      <c r="B13" s="7" t="s">
        <v>98</v>
      </c>
      <c r="C13" s="37" t="str">
        <f>Case1_Calm!D14</f>
        <v>SURVIVED to convergence</v>
      </c>
      <c r="D13" s="37" t="str">
        <f>Case2A_Ruin_ConstRates!D14</f>
        <v>RUIN: forced out, quarter 6</v>
      </c>
      <c r="E13" s="37" t="str">
        <f>Case2B_Ruin_ChangingRates!D14</f>
        <v>RUIN: forced out, quarter 18</v>
      </c>
      <c r="F13" s="37" t="str">
        <f>Case2C_Changing_SellToFund!D14</f>
        <v>SURVIVED: 4 partial sales</v>
      </c>
    </row>
    <row r="14" spans="2:6" x14ac:dyDescent="0.35">
      <c r="B14" s="7" t="s">
        <v>99</v>
      </c>
      <c r="C14" s="35">
        <f>Case1_Calm!D15</f>
        <v>0.3</v>
      </c>
      <c r="D14" s="35">
        <f>Case2A_Ruin_ConstRates!D15</f>
        <v>0.3</v>
      </c>
      <c r="E14" s="35">
        <f>Case2B_Ruin_ChangingRates!D15</f>
        <v>0.6</v>
      </c>
      <c r="F14" s="35">
        <f>Case2C_Changing_SellToFund!D15</f>
        <v>0.6</v>
      </c>
    </row>
    <row r="15" spans="2:6" x14ac:dyDescent="0.35">
      <c r="B15" s="7" t="s">
        <v>100</v>
      </c>
      <c r="C15" s="35">
        <f>Case1_Calm!D16</f>
        <v>0.08</v>
      </c>
      <c r="D15" s="35">
        <f>Case2A_Ruin_ConstRates!D16</f>
        <v>0.08</v>
      </c>
      <c r="E15" s="35">
        <f>Case2B_Ruin_ChangingRates!D16</f>
        <v>0.13</v>
      </c>
      <c r="F15" s="35">
        <f>Case2C_Changing_SellToFund!D16</f>
        <v>0.13</v>
      </c>
    </row>
    <row r="16" spans="2:6" x14ac:dyDescent="0.35">
      <c r="B16" s="7" t="s">
        <v>101</v>
      </c>
      <c r="C16" s="34">
        <f>Case1_Calm!D17</f>
        <v>231.13294419487343</v>
      </c>
      <c r="D16" s="34">
        <f>Case2A_Ruin_ConstRates!D17</f>
        <v>211.65892259805932</v>
      </c>
      <c r="E16" s="34">
        <f>Case2B_Ruin_ChangingRates!D17</f>
        <v>186.23056570527012</v>
      </c>
      <c r="F16" s="34">
        <f>Case2C_Changing_SellToFund!D17</f>
        <v>186.23056570527012</v>
      </c>
    </row>
    <row r="17" spans="2:6" x14ac:dyDescent="0.35">
      <c r="B17" s="7" t="s">
        <v>102</v>
      </c>
      <c r="C17" s="35">
        <f>Case1_Calm!D18</f>
        <v>1.1012085835897585</v>
      </c>
      <c r="D17" s="35">
        <f>Case2A_Ruin_ConstRates!D18</f>
        <v>0.92417202361872119</v>
      </c>
      <c r="E17" s="35">
        <f>Case2B_Ruin_ChangingRates!D18</f>
        <v>0.69300514277518288</v>
      </c>
      <c r="F17" s="35">
        <f>Case2C_Changing_SellToFund!D18</f>
        <v>0.69300514277518288</v>
      </c>
    </row>
    <row r="18" spans="2:6" x14ac:dyDescent="0.35">
      <c r="B18" s="7" t="s">
        <v>103</v>
      </c>
      <c r="C18" s="37" t="str">
        <f>Case1_Calm!D19</f>
        <v>Yes</v>
      </c>
      <c r="D18" s="37" t="str">
        <f>Case2A_Ruin_ConstRates!D19</f>
        <v>Yes - but only after forced exit</v>
      </c>
      <c r="E18" s="37" t="str">
        <f>Case2B_Ruin_ChangingRates!D19</f>
        <v>Yes - but only after forced exit</v>
      </c>
      <c r="F18" s="37" t="str">
        <f>Case2C_Changing_SellToFund!D19</f>
        <v>Yes</v>
      </c>
    </row>
    <row r="19" spans="2:6" x14ac:dyDescent="0.35">
      <c r="B19" s="7" t="s">
        <v>104</v>
      </c>
      <c r="C19" s="34">
        <f>Case1_Calm!D20</f>
        <v>0</v>
      </c>
      <c r="D19" s="34">
        <f>Case2A_Ruin_ConstRates!D20</f>
        <v>197.69135594741212</v>
      </c>
      <c r="E19" s="34">
        <f>Case2B_Ruin_ChangingRates!D20</f>
        <v>159.92366309519943</v>
      </c>
      <c r="F19" s="34">
        <f>Case2C_Changing_SellToFund!D20</f>
        <v>117.63446703784308</v>
      </c>
    </row>
    <row r="20" spans="2:6" x14ac:dyDescent="0.35">
      <c r="B20" s="7" t="s">
        <v>105</v>
      </c>
      <c r="C20" s="36">
        <f>Case1_Calm!D21</f>
        <v>0</v>
      </c>
      <c r="D20" s="36">
        <f>Case2A_Ruin_ConstRates!D21</f>
        <v>0</v>
      </c>
      <c r="E20" s="36">
        <f>Case2B_Ruin_ChangingRates!D21</f>
        <v>0</v>
      </c>
      <c r="F20" s="36">
        <f>Case2C_Changing_SellToFund!D21</f>
        <v>4</v>
      </c>
    </row>
    <row r="21" spans="2:6" x14ac:dyDescent="0.35">
      <c r="B21" s="7" t="s">
        <v>106</v>
      </c>
      <c r="C21" s="34">
        <f>Case1_Calm!D22</f>
        <v>0</v>
      </c>
      <c r="D21" s="34">
        <f>Case2A_Ruin_ConstRates!D22</f>
        <v>102.04199999999999</v>
      </c>
      <c r="E21" s="34">
        <f>Case2B_Ruin_ChangingRates!D22</f>
        <v>127.42200000000004</v>
      </c>
      <c r="F21" s="34">
        <f>Case2C_Changing_SellToFund!D22</f>
        <v>86.663511085440362</v>
      </c>
    </row>
    <row r="22" spans="2:6" x14ac:dyDescent="0.35">
      <c r="B22" s="7" t="s">
        <v>107</v>
      </c>
      <c r="C22" s="34">
        <f>Case1_Calm!D23</f>
        <v>0</v>
      </c>
      <c r="D22" s="34">
        <f>Case2A_Ruin_ConstRates!D23</f>
        <v>15.306299999999997</v>
      </c>
      <c r="E22" s="34">
        <f>Case2B_Ruin_ChangingRates!D23</f>
        <v>19.113300000000006</v>
      </c>
      <c r="F22" s="34">
        <f>Case2C_Changing_SellToFund!D23</f>
        <v>12.999526662816054</v>
      </c>
    </row>
    <row r="25" spans="2:6" x14ac:dyDescent="0.35">
      <c r="B25" s="24" t="s">
        <v>155</v>
      </c>
    </row>
  </sheetData>
  <conditionalFormatting sqref="C13:F13">
    <cfRule type="expression" dxfId="1" priority="1">
      <formula>LEFT(C13,4)="RUIN"</formula>
    </cfRule>
    <cfRule type="expression" dxfId="0" priority="2">
      <formula>LEFT(C13,4)="SURV"</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20</vt:i4>
      </vt:variant>
    </vt:vector>
  </HeadingPairs>
  <TitlesOfParts>
    <vt:vector size="27" baseType="lpstr">
      <vt:lpstr>README</vt:lpstr>
      <vt:lpstr>Inputs</vt:lpstr>
      <vt:lpstr>Case1_Calm</vt:lpstr>
      <vt:lpstr>Case2A_Ruin_ConstRates</vt:lpstr>
      <vt:lpstr>Case2B_Ruin_ChangingRates</vt:lpstr>
      <vt:lpstr>Case2C_Changing_SellToFund</vt:lpstr>
      <vt:lpstr>Comparison</vt:lpstr>
      <vt:lpstr>AAAAAAAAA1</vt:lpstr>
      <vt:lpstr>Dividend_Yield_pa</vt:lpstr>
      <vt:lpstr>Entry_Driver</vt:lpstr>
      <vt:lpstr>Entry_Financing_Rate</vt:lpstr>
      <vt:lpstr>Gross_Leverage</vt:lpstr>
      <vt:lpstr>Initial_Loan</vt:lpstr>
      <vt:lpstr>Initial_Margin_Rate</vt:lpstr>
      <vt:lpstr>Initial_Margin_Req</vt:lpstr>
      <vt:lpstr>Initial_Position_Value</vt:lpstr>
      <vt:lpstr>Liquidation_Slippage</vt:lpstr>
      <vt:lpstr>Liquidity_Reserve_0</vt:lpstr>
      <vt:lpstr>Period_Length_Yrs</vt:lpstr>
      <vt:lpstr>Period_Unit</vt:lpstr>
      <vt:lpstr>Periods_per_Year</vt:lpstr>
      <vt:lpstr>Case1_Calm!Sell_To_Fund</vt:lpstr>
      <vt:lpstr>Case2A_Ruin_ConstRates!Sell_To_Fund</vt:lpstr>
      <vt:lpstr>Case2B_Ruin_ChangingRates!Sell_To_Fund</vt:lpstr>
      <vt:lpstr>Case2C_Changing_SellToFund!Sell_To_Fund</vt:lpstr>
      <vt:lpstr>Starting_Equity</vt:lpstr>
      <vt:lpstr>Target_Driver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Kunal Kunde</cp:lastModifiedBy>
  <dcterms:created xsi:type="dcterms:W3CDTF">2026-10-16T08:53:53Z</dcterms:created>
  <dcterms:modified xsi:type="dcterms:W3CDTF">2026-10-16T13:54:36Z</dcterms:modified>
</cp:coreProperties>
</file>