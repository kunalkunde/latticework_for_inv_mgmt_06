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Teaching/IIM Mumbai/Latticework/Lec 06/"/>
    </mc:Choice>
  </mc:AlternateContent>
  <xr:revisionPtr revIDLastSave="8" documentId="11_F89A01EC8A1AB0A08CDE591A20F07D51E8E592B6" xr6:coauthVersionLast="47" xr6:coauthVersionMax="47" xr10:uidLastSave="{DF241158-D0D7-4777-B929-3B3664AA8327}"/>
  <bookViews>
    <workbookView xWindow="-110" yWindow="-110" windowWidth="19420" windowHeight="11500" xr2:uid="{00000000-000D-0000-FFFF-FFFF00000000}"/>
  </bookViews>
  <sheets>
    <sheet name="README" sheetId="1" r:id="rId1"/>
    <sheet name="1_Carry_Mechanics" sheetId="2" r:id="rId2"/>
    <sheet name="2_Sensitivity" sheetId="3" r:id="rId3"/>
    <sheet name="3_Aug2024_Timeline" sheetId="4" r:id="rId4"/>
    <sheet name="4_Unwind_Spir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32" i="2"/>
  <c r="E17" i="5"/>
  <c r="J17" i="5" s="1"/>
  <c r="B17" i="5"/>
  <c r="B12" i="5"/>
  <c r="D17" i="5" s="1"/>
  <c r="B11" i="5"/>
  <c r="B10" i="5"/>
  <c r="D20" i="4"/>
  <c r="D19" i="4"/>
  <c r="D18" i="4"/>
  <c r="D17" i="4"/>
  <c r="D16" i="4"/>
  <c r="G13" i="4"/>
  <c r="F13" i="4"/>
  <c r="E13" i="4"/>
  <c r="D13" i="4"/>
  <c r="G12" i="4"/>
  <c r="F12" i="4"/>
  <c r="E12" i="4"/>
  <c r="D12" i="4"/>
  <c r="G11" i="4"/>
  <c r="D22" i="4" s="1"/>
  <c r="B9" i="5" s="1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B42" i="3"/>
  <c r="B41" i="3"/>
  <c r="G38" i="3"/>
  <c r="B35" i="3"/>
  <c r="G34" i="3"/>
  <c r="F34" i="3"/>
  <c r="E34" i="3"/>
  <c r="B10" i="3"/>
  <c r="B9" i="3"/>
  <c r="D38" i="3" s="1"/>
  <c r="B8" i="3"/>
  <c r="B6" i="3"/>
  <c r="B4" i="3"/>
  <c r="E48" i="2"/>
  <c r="D48" i="2"/>
  <c r="C48" i="2"/>
  <c r="E28" i="2"/>
  <c r="D28" i="2"/>
  <c r="C28" i="2"/>
  <c r="E27" i="2"/>
  <c r="E29" i="2" s="1"/>
  <c r="E30" i="2" s="1"/>
  <c r="D27" i="2"/>
  <c r="D29" i="2" s="1"/>
  <c r="D30" i="2" s="1"/>
  <c r="C27" i="2"/>
  <c r="C29" i="2" s="1"/>
  <c r="C30" i="2" s="1"/>
  <c r="D23" i="2"/>
  <c r="D24" i="2" s="1"/>
  <c r="D25" i="2" s="1"/>
  <c r="C23" i="2"/>
  <c r="C24" i="2" s="1"/>
  <c r="C25" i="2" s="1"/>
  <c r="E20" i="2"/>
  <c r="D20" i="2"/>
  <c r="B5" i="3" s="1"/>
  <c r="C20" i="2"/>
  <c r="C10" i="2"/>
  <c r="C35" i="3" l="1"/>
  <c r="E36" i="3"/>
  <c r="G36" i="3"/>
  <c r="B37" i="3"/>
  <c r="G32" i="3"/>
  <c r="B33" i="3"/>
  <c r="E38" i="3"/>
  <c r="F36" i="3"/>
  <c r="E32" i="3"/>
  <c r="F32" i="3"/>
  <c r="C37" i="3"/>
  <c r="C33" i="3"/>
  <c r="F38" i="3"/>
  <c r="D33" i="2"/>
  <c r="D34" i="2" s="1"/>
  <c r="B13" i="5"/>
  <c r="B7" i="3"/>
  <c r="E21" i="3" s="1"/>
  <c r="H16" i="3"/>
  <c r="C17" i="5"/>
  <c r="F17" i="5" s="1"/>
  <c r="G17" i="5" s="1"/>
  <c r="D32" i="2"/>
  <c r="E23" i="2"/>
  <c r="E24" i="2" s="1"/>
  <c r="E25" i="2" s="1"/>
  <c r="C34" i="2"/>
  <c r="K17" i="5"/>
  <c r="L17" i="5"/>
  <c r="E32" i="2"/>
  <c r="C15" i="3"/>
  <c r="E37" i="3"/>
  <c r="F35" i="3"/>
  <c r="G33" i="3"/>
  <c r="G37" i="3"/>
  <c r="B32" i="3"/>
  <c r="B34" i="3"/>
  <c r="B36" i="3"/>
  <c r="B38" i="3"/>
  <c r="D33" i="3"/>
  <c r="D35" i="3"/>
  <c r="D37" i="3"/>
  <c r="E35" i="3"/>
  <c r="C32" i="3"/>
  <c r="C34" i="3"/>
  <c r="C36" i="3"/>
  <c r="C38" i="3"/>
  <c r="D21" i="4"/>
  <c r="E33" i="3"/>
  <c r="F33" i="3"/>
  <c r="F37" i="3"/>
  <c r="G35" i="3"/>
  <c r="D32" i="3"/>
  <c r="D34" i="3"/>
  <c r="D36" i="3"/>
  <c r="H15" i="3" l="1"/>
  <c r="D26" i="3"/>
  <c r="F19" i="3"/>
  <c r="B15" i="3"/>
  <c r="E18" i="3"/>
  <c r="G14" i="3"/>
  <c r="E17" i="3"/>
  <c r="E37" i="2"/>
  <c r="G23" i="3"/>
  <c r="B20" i="3"/>
  <c r="D15" i="3"/>
  <c r="D19" i="3"/>
  <c r="D21" i="3"/>
  <c r="H20" i="3"/>
  <c r="C23" i="3"/>
  <c r="G26" i="3"/>
  <c r="B22" i="3"/>
  <c r="G22" i="3"/>
  <c r="B23" i="3"/>
  <c r="D18" i="3"/>
  <c r="C25" i="3"/>
  <c r="F20" i="3"/>
  <c r="F26" i="3"/>
  <c r="D23" i="3"/>
  <c r="E20" i="3"/>
  <c r="E26" i="3"/>
  <c r="H17" i="5"/>
  <c r="D18" i="5"/>
  <c r="H14" i="3"/>
  <c r="C18" i="3"/>
  <c r="B19" i="3"/>
  <c r="B21" i="3"/>
  <c r="C24" i="3"/>
  <c r="G17" i="3"/>
  <c r="D17" i="3"/>
  <c r="F15" i="3"/>
  <c r="C38" i="2"/>
  <c r="G15" i="3"/>
  <c r="E19" i="3"/>
  <c r="H25" i="3"/>
  <c r="G20" i="3"/>
  <c r="F14" i="3"/>
  <c r="D27" i="3"/>
  <c r="F23" i="3"/>
  <c r="E23" i="3"/>
  <c r="D25" i="3"/>
  <c r="F22" i="3"/>
  <c r="C16" i="3"/>
  <c r="F27" i="3"/>
  <c r="B18" i="3"/>
  <c r="B25" i="3"/>
  <c r="D35" i="2"/>
  <c r="D37" i="2"/>
  <c r="C17" i="3"/>
  <c r="H18" i="3"/>
  <c r="D24" i="3"/>
  <c r="H24" i="3"/>
  <c r="B27" i="3"/>
  <c r="E24" i="3"/>
  <c r="G24" i="3"/>
  <c r="G27" i="3"/>
  <c r="C20" i="3"/>
  <c r="F25" i="3"/>
  <c r="E25" i="3"/>
  <c r="H27" i="3"/>
  <c r="D22" i="3"/>
  <c r="C14" i="3"/>
  <c r="E16" i="3"/>
  <c r="F18" i="3"/>
  <c r="H21" i="3"/>
  <c r="G21" i="3"/>
  <c r="G16" i="3"/>
  <c r="D14" i="3"/>
  <c r="G25" i="3"/>
  <c r="E15" i="3"/>
  <c r="F17" i="3"/>
  <c r="D20" i="3"/>
  <c r="B17" i="3"/>
  <c r="B16" i="3"/>
  <c r="E27" i="3"/>
  <c r="B24" i="3"/>
  <c r="F16" i="3"/>
  <c r="C35" i="2"/>
  <c r="C37" i="2"/>
  <c r="E33" i="2"/>
  <c r="C26" i="3"/>
  <c r="C27" i="3"/>
  <c r="C19" i="3"/>
  <c r="C21" i="3"/>
  <c r="E14" i="3"/>
  <c r="E22" i="3"/>
  <c r="D16" i="3"/>
  <c r="D38" i="2"/>
  <c r="H26" i="3"/>
  <c r="H22" i="3"/>
  <c r="H19" i="3"/>
  <c r="C22" i="3"/>
  <c r="G18" i="3"/>
  <c r="F21" i="3"/>
  <c r="B26" i="3"/>
  <c r="F24" i="3"/>
  <c r="H17" i="3"/>
  <c r="B14" i="3"/>
  <c r="G19" i="3"/>
  <c r="H23" i="3"/>
  <c r="D54" i="2" l="1"/>
  <c r="D43" i="2"/>
  <c r="B18" i="5"/>
  <c r="I17" i="5"/>
  <c r="E34" i="2"/>
  <c r="E35" i="2" s="1"/>
  <c r="E38" i="2"/>
  <c r="C54" i="2"/>
  <c r="C43" i="2"/>
  <c r="D40" i="2"/>
  <c r="D41" i="2" s="1"/>
  <c r="C39" i="2"/>
  <c r="C40" i="2" s="1"/>
  <c r="C41" i="2" s="1"/>
  <c r="C44" i="2"/>
  <c r="C50" i="2"/>
  <c r="C52" i="2"/>
  <c r="C53" i="2" s="1"/>
  <c r="C51" i="2"/>
  <c r="D50" i="2"/>
  <c r="D44" i="2"/>
  <c r="D39" i="2"/>
  <c r="D51" i="2"/>
  <c r="D52" i="2"/>
  <c r="D53" i="2" s="1"/>
  <c r="C45" i="2" l="1"/>
  <c r="C46" i="2"/>
  <c r="C47" i="2" s="1"/>
  <c r="D45" i="2"/>
  <c r="D46" i="2"/>
  <c r="E50" i="2"/>
  <c r="E39" i="2"/>
  <c r="E40" i="2" s="1"/>
  <c r="E41" i="2" s="1"/>
  <c r="E52" i="2"/>
  <c r="E53" i="2" s="1"/>
  <c r="E44" i="2"/>
  <c r="E51" i="2"/>
  <c r="E54" i="2"/>
  <c r="E43" i="2"/>
  <c r="E18" i="5"/>
  <c r="C18" i="5"/>
  <c r="F18" i="5" l="1"/>
  <c r="G18" i="5" s="1"/>
  <c r="J18" i="5"/>
  <c r="E45" i="2"/>
  <c r="E46" i="2"/>
  <c r="E47" i="2" s="1"/>
  <c r="B43" i="3"/>
  <c r="B44" i="3" s="1"/>
  <c r="D47" i="2"/>
  <c r="K18" i="5" l="1"/>
  <c r="L18" i="5"/>
  <c r="D19" i="5"/>
  <c r="H18" i="5"/>
  <c r="B19" i="5" l="1"/>
  <c r="I18" i="5"/>
  <c r="E19" i="5" l="1"/>
  <c r="C19" i="5"/>
  <c r="F19" i="5" l="1"/>
  <c r="G19" i="5" s="1"/>
  <c r="J19" i="5"/>
  <c r="K19" i="5" l="1"/>
  <c r="L19" i="5"/>
  <c r="D20" i="5"/>
  <c r="H19" i="5"/>
  <c r="B20" i="5" l="1"/>
  <c r="I19" i="5"/>
  <c r="E20" i="5" l="1"/>
  <c r="C20" i="5"/>
  <c r="F20" i="5" l="1"/>
  <c r="G20" i="5" s="1"/>
  <c r="J20" i="5"/>
  <c r="L20" i="5" l="1"/>
  <c r="K20" i="5"/>
  <c r="H20" i="5"/>
  <c r="D21" i="5"/>
  <c r="B21" i="5" l="1"/>
  <c r="I20" i="5"/>
  <c r="E21" i="5" l="1"/>
  <c r="C21" i="5"/>
  <c r="F21" i="5" l="1"/>
  <c r="G21" i="5" s="1"/>
  <c r="J21" i="5"/>
  <c r="K21" i="5" l="1"/>
  <c r="L21" i="5"/>
  <c r="H21" i="5"/>
  <c r="D22" i="5"/>
  <c r="B22" i="5" l="1"/>
  <c r="I21" i="5"/>
  <c r="E22" i="5" l="1"/>
  <c r="C22" i="5"/>
  <c r="F22" i="5" l="1"/>
  <c r="G22" i="5" s="1"/>
  <c r="J22" i="5"/>
  <c r="L22" i="5" l="1"/>
  <c r="K22" i="5"/>
  <c r="H22" i="5"/>
  <c r="D23" i="5"/>
  <c r="B23" i="5" l="1"/>
  <c r="I22" i="5"/>
  <c r="E23" i="5" l="1"/>
  <c r="C23" i="5"/>
  <c r="F23" i="5" l="1"/>
  <c r="G23" i="5" s="1"/>
  <c r="J23" i="5"/>
  <c r="K23" i="5" l="1"/>
  <c r="L23" i="5"/>
  <c r="H23" i="5"/>
  <c r="D24" i="5"/>
  <c r="B24" i="5" l="1"/>
  <c r="I23" i="5"/>
  <c r="E24" i="5" l="1"/>
  <c r="C24" i="5"/>
  <c r="F24" i="5" l="1"/>
  <c r="G24" i="5" s="1"/>
  <c r="J24" i="5"/>
  <c r="K24" i="5" l="1"/>
  <c r="L24" i="5"/>
  <c r="D25" i="5"/>
  <c r="H24" i="5"/>
  <c r="B25" i="5" l="1"/>
  <c r="I24" i="5"/>
  <c r="E25" i="5" l="1"/>
  <c r="C25" i="5"/>
  <c r="F25" i="5" l="1"/>
  <c r="G25" i="5" s="1"/>
  <c r="J25" i="5"/>
  <c r="K25" i="5" l="1"/>
  <c r="L25" i="5"/>
  <c r="D26" i="5"/>
  <c r="H25" i="5"/>
  <c r="B26" i="5" l="1"/>
  <c r="I25" i="5"/>
  <c r="E26" i="5" l="1"/>
  <c r="C26" i="5"/>
  <c r="F26" i="5" l="1"/>
  <c r="G26" i="5" s="1"/>
  <c r="J26" i="5"/>
  <c r="L26" i="5" l="1"/>
  <c r="K26" i="5"/>
  <c r="D27" i="5"/>
  <c r="H26" i="5"/>
  <c r="B27" i="5" l="1"/>
  <c r="I26" i="5"/>
  <c r="E27" i="5" l="1"/>
  <c r="C27" i="5"/>
  <c r="F27" i="5" l="1"/>
  <c r="G27" i="5" s="1"/>
  <c r="J27" i="5"/>
  <c r="B31" i="5" l="1"/>
  <c r="B30" i="5"/>
  <c r="L27" i="5"/>
  <c r="B34" i="5" s="1"/>
  <c r="K27" i="5"/>
  <c r="B33" i="5" s="1"/>
  <c r="B35" i="5"/>
  <c r="H27" i="5"/>
  <c r="I27" i="5" s="1"/>
  <c r="B32" i="5" s="1"/>
</calcChain>
</file>

<file path=xl/sharedStrings.xml><?xml version="1.0" encoding="utf-8"?>
<sst xmlns="http://schemas.openxmlformats.org/spreadsheetml/2006/main" count="262" uniqueCount="225">
  <si>
    <t>The Yen Carry Trade and the August 2024 Unwind</t>
  </si>
  <si>
    <t>A teaching model for MBA students. Latticework for Investment Management, IIM Mumbai.</t>
  </si>
  <si>
    <t>What this workbook does</t>
  </si>
  <si>
    <t>1. Builds a single yen carry trade step by step: borrow JPY at ~0%, convert to USD, earn ~5.3% in T-bills, repay the yen later.</t>
  </si>
  <si>
    <t>2. Splits the P&amp;L into CARRY (the rate gap, which is slow and small) and FX (the currency move, which is fast and large).</t>
  </si>
  <si>
    <t>3. Shows why a 15 bp BOJ hike mattered as a SIGNAL rather than as a COST, with sensitivity grids.</t>
  </si>
  <si>
    <t>4. Lays out the July–August 2024 timeline: the BOJ hike (31-Jul), the weak US ISM and payrolls prints (1–2 Aug) and Japan's 'Black Monday' (5-Aug).</t>
  </si>
  <si>
    <t>5. Simulates a stylised deleveraging spiral: yen rally → losses → margin calls → forced yen buying → more yen rally.</t>
  </si>
  <si>
    <t>Sheet map</t>
  </si>
  <si>
    <t>1_Carry_Mechanics: step-by-step P&amp;L for three scenarios (Carry heaven: Jan–Jul 2024 | The unwind: 10-Jul to 5-Aug 2024 | Your own scenario).</t>
  </si>
  <si>
    <t>2_Sensitivity: ROE by exit USD/JPY and leverage, plus the annual carry ROE by rate level. Compares a 15 bp hike with a 1% yen move.</t>
  </si>
  <si>
    <t>3_Aug2024_Timeline: approximate daily closes for USD/JPY and the Nikkei 225, key events, returns and a chart.</t>
  </si>
  <si>
    <t>4_Unwind_Spiral: a stylised reflexive feedback loop in rounds, with an amplification multiple and a chart.</t>
  </si>
  <si>
    <t>Colour conventions</t>
  </si>
  <si>
    <t>Blue text: hard-coded inputs and assumptions. Change these.</t>
  </si>
  <si>
    <t>Black text: formulas. Do not overwrite.</t>
  </si>
  <si>
    <t>Green text: formulas that link to another sheet.</t>
  </si>
  <si>
    <t>Yellow fill: key levers to play with in class (leverage, exit FX, shock size, price impact).</t>
  </si>
  <si>
    <t>Key lessons</t>
  </si>
  <si>
    <t>• Carry is 'picking up nickels in front of a steamroller'. At 10x leverage the trade earns ~0.015% of assets a day in carry, and a single 1% yen rally wipes out about 2 months of it.</t>
  </si>
  <si>
    <t>• The 15 bp hike cut the annual carry of a 10x book by only about 1.35 ppt of ROE. The damage came from what the hike SIGNALLED: a narrowing USD–JPY rate gap, since weak US data at the same time implied Fed cuts.</t>
  </si>
  <si>
    <t>• Crowding plus leverage plus mark-to-market margin makes the market reflexive. Losses force yen buying, which causes more losses. Those caught in it face the same margin rules at the same moment (see lecture #22, Reflexivity, and #25, Leverage).</t>
  </si>
  <si>
    <t>• The Nikkei was the most crowded 'other side' of the trade. A stronger yen hurts exporters' earnings, foreign 'long Japan / short yen' books were unwound, and global risk-off selling hit everything together.</t>
  </si>
  <si>
    <t>• Episode statistics (see 3_Aug2024_Timeline): Nikkei −12.4% on 5-Aug alone (its largest point fall ever, −4,451). From the 31-Jul close to the 5-Aug close (3 sessions) it fell ~19.5%. It fell ~25.5% from its 11-Jul record. It rebounded +10.2% on 6-Aug.</t>
  </si>
  <si>
    <t>Discussion questions</t>
  </si>
  <si>
    <t>Q1. In 1_Carry_Mechanics, how large a yen rally wipes out the 10x trader? How does that compare with the carry earned over the holding period?</t>
  </si>
  <si>
    <t>Q2. The BOJ hiked only 15 bp. Use 2_Sensitivity to explain why the market reaction was out of all proportion to the rate change.</t>
  </si>
  <si>
    <t>Q3. In 4_Unwind_Spiral, find the price-impact level at which the spiral wipes out everyone's equity. What does the 'stability factor' tell you?</t>
  </si>
  <si>
    <t>Q4. The Nikkei recovered +10.2% the next day, after the BOJ Deputy Governor said there would be no hikes while markets were unstable (7-Aug). What does this say about fundamental versus flow-driven price moves?</t>
  </si>
  <si>
    <t>Q5. How is this episode like LTCM (1998), the 2008 yen-carry unwind and the 2018 'Volmageddon'? What are the common ingredients?</t>
  </si>
  <si>
    <t>Data, sources and simplifications (please read)</t>
  </si>
  <si>
    <t>• Nikkei 225 closes are official Nikkei Inc. closes as recalled from contemporaneous reports (Nikkei Asia, Reuters, Bloomberg). USD/JPY levels are APPROXIMATE New York closes. Verify against Bloomberg or FRED (series DEXJPUS) before quoting precise numbers in class.</t>
  </si>
  <si>
    <t>• BOJ: on 31-Jul-2024 the BOJ raised its policy rate from a 0–0.1% range to ~0.25% (+15 bp at the upper bound) and announced a plan to taper JGB purchases. Fed funds target at the time: 5.25–5.50%.</t>
  </si>
  <si>
    <t>• US data: ISM Manufacturing (1-Aug) 46.8. July non-farm payrolls (2-Aug) +114k against ~175k expected, with unemployment at 4.3%, which triggered the 'Sahm rule' recession signal.</t>
  </si>
  <si>
    <t>• Simplifications: one day-count basis (ACT/360) for both currencies. No bid/ask, fees or haircuts. Interest accrues simply and is settled at exit. The investor's equity is invested in USD alongside the borrowed funds.</t>
  </si>
  <si>
    <t>• The unwind spiral uses stylised parameters, not estimates. Published estimates of the size of the yen carry trade in 2024 ranged from a few hundred billion to several trillion USD, depending on definition.</t>
  </si>
  <si>
    <t>Yen Carry Trade: Step-by-Step Mechanics</t>
  </si>
  <si>
    <t>Borrow JPY cheaply → sell for USD → hold USD T-bills → at exit, buy back JPY and repay. Units: USD mm unless stated.</t>
  </si>
  <si>
    <t>Global assumptions</t>
  </si>
  <si>
    <t>Assumption</t>
  </si>
  <si>
    <t>Unit</t>
  </si>
  <si>
    <t>Value</t>
  </si>
  <si>
    <t>Source / note</t>
  </si>
  <si>
    <t>Investor equity (margin posted)</t>
  </si>
  <si>
    <t>USD mm</t>
  </si>
  <si>
    <t>Illustrative hedge-fund sleeve.</t>
  </si>
  <si>
    <t>USD money-market rate (3M T-bill)</t>
  </si>
  <si>
    <t>% p.a.</t>
  </si>
  <si>
    <t>~5.3% in H1 2024; Fed funds target 5.25–5.50% (Jul-2023 to Sep-2024).</t>
  </si>
  <si>
    <t>BOJ policy rate, before the hike (upper bound)</t>
  </si>
  <si>
    <t>The 0–0.1% range set in Mar-2024, when negative rates ended.</t>
  </si>
  <si>
    <t>BOJ hike on 31-Jul-2024</t>
  </si>
  <si>
    <t>Raised to ~0.25%, i.e. +15 bp at the upper bound.</t>
  </si>
  <si>
    <t>BOJ policy rate, after the hike</t>
  </si>
  <si>
    <t>Formula.</t>
  </si>
  <si>
    <t>Day-count basis</t>
  </si>
  <si>
    <t>days</t>
  </si>
  <si>
    <t>Simplification: ACT/360 for both legs (JPY market convention is ACT/365).</t>
  </si>
  <si>
    <t>Maintenance margin (equity / assets)</t>
  </si>
  <si>
    <t>%</t>
  </si>
  <si>
    <t>Below this level the broker issues a margin call. Illustrative.</t>
  </si>
  <si>
    <t>Scenarios</t>
  </si>
  <si>
    <t>Line item</t>
  </si>
  <si>
    <t>A: Carry heaven</t>
  </si>
  <si>
    <t>B: The unwind</t>
  </si>
  <si>
    <t>C: Your scenario</t>
  </si>
  <si>
    <t>Explanation</t>
  </si>
  <si>
    <t>Scenario</t>
  </si>
  <si>
    <t>2-Jan to 10-Jul-2024</t>
  </si>
  <si>
    <t>10-Jul to 5-Aug-2024</t>
  </si>
  <si>
    <t>Edit the yellow cells</t>
  </si>
  <si>
    <t>Leverage (assets / equity)</t>
  </si>
  <si>
    <t>x</t>
  </si>
  <si>
    <t>Try 1x, 3x, 5x, 10x and 20x.</t>
  </si>
  <si>
    <t>Entry date</t>
  </si>
  <si>
    <t>date</t>
  </si>
  <si>
    <t>Exit date</t>
  </si>
  <si>
    <t>Days held</t>
  </si>
  <si>
    <t>Entry USD/JPY</t>
  </si>
  <si>
    <t>¥ per $</t>
  </si>
  <si>
    <t>Approx. NY closes. USD/JPY hit a 38-year high (~161.9) in early Jul-2024.</t>
  </si>
  <si>
    <t>Exit USD/JPY</t>
  </si>
  <si>
    <t>B: ~144.2 NY close on 5-Aug. C: ~141.7 was the intraday low on 5-Aug.</t>
  </si>
  <si>
    <t>Share of holding period after the BOJ hike</t>
  </si>
  <si>
    <t>The post-hike rate applies only to days after 31-Jul-2024.</t>
  </si>
  <si>
    <t>Effective JPY funding rate</t>
  </si>
  <si>
    <t>Time-weighted mix of the pre-hike and post-hike rates.</t>
  </si>
  <si>
    <t>Interest-rate differential (USD − JPY)</t>
  </si>
  <si>
    <t>The 'carry' the trade is paid to hold.</t>
  </si>
  <si>
    <t>Step 1: Put the trade on (at entry)</t>
  </si>
  <si>
    <t>USD T-bills bought</t>
  </si>
  <si>
    <t>Equity × leverage.</t>
  </si>
  <si>
    <t xml:space="preserve">  funded by equity</t>
  </si>
  <si>
    <t xml:space="preserve">  funded by the JPY loan</t>
  </si>
  <si>
    <t>Yen borrowed</t>
  </si>
  <si>
    <t>¥ mm</t>
  </si>
  <si>
    <t>Borrow ¥ and sell them for $ at the entry rate.</t>
  </si>
  <si>
    <t>Step 2: Earn the carry</t>
  </si>
  <si>
    <t>USD interest earned</t>
  </si>
  <si>
    <t>JPY interest owed</t>
  </si>
  <si>
    <t>JPY interest owed, at entry FX</t>
  </si>
  <si>
    <t>Net carry earned</t>
  </si>
  <si>
    <t>Small and steady: the 'nickels'.</t>
  </si>
  <si>
    <t>Step 3: Unwind (at exit)</t>
  </si>
  <si>
    <t>USD assets at exit (incl. interest)</t>
  </si>
  <si>
    <t>Yen to repay (principal + interest)</t>
  </si>
  <si>
    <t>USD needed to buy back those yen</t>
  </si>
  <si>
    <t>A lower USD/JPY (stronger yen) means more dollars are needed.</t>
  </si>
  <si>
    <t>Equity at exit</t>
  </si>
  <si>
    <t>Negative means the investor owes more than the whole stake.</t>
  </si>
  <si>
    <t>Profit / (loss)</t>
  </si>
  <si>
    <t>P&amp;L attribution</t>
  </si>
  <si>
    <t>Carry P&amp;L (FX unchanged)</t>
  </si>
  <si>
    <t>FX P&amp;L</t>
  </si>
  <si>
    <t>Change in the USD value of the yen liability. This is the steamroller.</t>
  </si>
  <si>
    <t>Check (should be zero)</t>
  </si>
  <si>
    <t>Return on equity (holding period)</t>
  </si>
  <si>
    <t>ROE annualised (simple)</t>
  </si>
  <si>
    <t>Yen move (+ = yen appreciated)</t>
  </si>
  <si>
    <t>Risk: how much yen strength can the trade absorb?</t>
  </si>
  <si>
    <t>Break-even exit USD/JPY (P&amp;L = 0)</t>
  </si>
  <si>
    <t>USD/JPY that triggers a margin call</t>
  </si>
  <si>
    <t>The level at which equity / assets falls to the maintenance margin.</t>
  </si>
  <si>
    <t>Wipe-out USD/JPY (equity = 0)</t>
  </si>
  <si>
    <t>Yen rally that wipes out the equity</t>
  </si>
  <si>
    <t>At 10x leverage, roughly an 11% yen move.</t>
  </si>
  <si>
    <t>Days of carry erased by a 1% yen rally</t>
  </si>
  <si>
    <t>Nickels against the steamroller.</t>
  </si>
  <si>
    <t>Sensitivity: the FX Move Dominates, Not the Rate Hike</t>
  </si>
  <si>
    <t>Parameters are linked (green) to Scenario B, 'The unwind', on 1_Carry_Mechanics. Change them there.</t>
  </si>
  <si>
    <t>USD rate</t>
  </si>
  <si>
    <t>Effective JPY rate</t>
  </si>
  <si>
    <t>Leverage (Scenario B)</t>
  </si>
  <si>
    <t>BOJ hike</t>
  </si>
  <si>
    <t>Table 1: Holding-period ROE by exit USD/JPY (rows) and leverage (columns)</t>
  </si>
  <si>
    <t>Exit USD/JPY  \  Leverage →</t>
  </si>
  <si>
    <t>Formula: ROE = L·(1 + r$·t) − (L − 1)·(S0 / S1)·(1 + r¥·t) − 1. Any ROE below −100% means the investor loses more than the whole stake.</t>
  </si>
  <si>
    <t>Table 2: Annual carry-only ROE (FX unchanged) by JPY rate (rows) and USD rate (columns), at Scenario B leverage</t>
  </si>
  <si>
    <t>JPY rate  \  USD rate →</t>
  </si>
  <si>
    <t>The punchline: the signal versus the cost</t>
  </si>
  <si>
    <t>Annual ROE cost of the 15 bp BOJ hike</t>
  </si>
  <si>
    <t>(L − 1) × hike. Paid gradually over a whole year.</t>
  </si>
  <si>
    <t>Instant ROE cost of a 1% yen rally</t>
  </si>
  <si>
    <t>≈ (L − 1) × 1%. Paid overnight.</t>
  </si>
  <si>
    <t>Instant ROE cost of the actual yen rally (Scenario B)</t>
  </si>
  <si>
    <t>FX loss as a % of equity for Scenario B (roughly 12% yen × 9 turns of yen debt).</t>
  </si>
  <si>
    <t>FX shock ÷ hike cost (times)</t>
  </si>
  <si>
    <t>The hike mattered because it changed EXPECTATIONS and triggered crowded exits, not because of its cost.</t>
  </si>
  <si>
    <t>July–August 2024: From the Carry Peak to Japan's 'Black Monday'</t>
  </si>
  <si>
    <t>USD/JPY: approximate NY closes. Nikkei 225: official closes. Verify against Bloomberg or FRED (DEXJPUS) before quoting to the decimal.</t>
  </si>
  <si>
    <t>Date</t>
  </si>
  <si>
    <t>USD/JPY</t>
  </si>
  <si>
    <t>Nikkei 225</t>
  </si>
  <si>
    <t>USD/JPY chg</t>
  </si>
  <si>
    <t>Nikkei chg</t>
  </si>
  <si>
    <t>Nikkei vs 31-Jul close</t>
  </si>
  <si>
    <t>Yen apprec. vs 10-Jul</t>
  </si>
  <si>
    <t>What happened</t>
  </si>
  <si>
    <t>Carry at its peak. USD/JPY near a 38-year high. CFTC speculative net yen shorts near their largest since 2007.</t>
  </si>
  <si>
    <t>Nikkei record close. Soft US June CPI. Suspected MOF yen-buying intervention (later confirmed at ~¥5.5trn over 11–12 Jul).</t>
  </si>
  <si>
    <t>BOJ meeting, day 1. Yen already firming as carry positions start to be cut.</t>
  </si>
  <si>
    <t>BOJ HIKES to ~0.25% (+15 bp) and sets a plan to halve JGB buying. Gov. Ueda sounds hawkish. Fed holds at 5.25–5.50% and hints at a September cut.</t>
  </si>
  <si>
    <t>US ISM Manufacturing weak at 46.8. Growth scare begins. Session 1 of 3.</t>
  </si>
  <si>
    <t>US July payrolls +114k against ~175k expected, unemployment 4.3%: the 'Sahm rule' recession trigger. Session 2 of 3.</t>
  </si>
  <si>
    <t>JAPAN'S BLACK MONDAY: Nikkei −12.4%, −4,451 pts (largest point drop ever). TOPIX −12.2%. Circuit breakers hit. VIX intraday ~65. USD/JPY intraday low ~141.7. Session 3 of 3.</t>
  </si>
  <si>
    <t>Snap-back: Nikkei +10.2%, its largest point gain ever.</t>
  </si>
  <si>
    <t>BOJ Deputy Gov. Uchida: 'will not raise rates when markets are unstable'. The central-bank put is restored.</t>
  </si>
  <si>
    <t>Episode statistics</t>
  </si>
  <si>
    <t>Nikkei, 5-Aug single session</t>
  </si>
  <si>
    <t>The famous '−12%' day.</t>
  </si>
  <si>
    <t>Nikkei, 3 sessions (31-Jul close → 5-Aug close)</t>
  </si>
  <si>
    <t>The cumulative fall over 1, 2 and 5 Aug was about −19.5%. The ~12% figure often quoted is the 5-Aug fall alone.</t>
  </si>
  <si>
    <t>Nikkei, peak to trough (11-Jul record → 5-Aug)</t>
  </si>
  <si>
    <t>Bear-market territory in under 4 weeks.</t>
  </si>
  <si>
    <t>Nikkei, 6-Aug rebound</t>
  </si>
  <si>
    <t>Most of the 'information' in the crash was flow, not fundamentals.</t>
  </si>
  <si>
    <t>Nikkei point drop on 5-Aug</t>
  </si>
  <si>
    <t>Larger in points than 19-Oct-1987 (−3,836).</t>
  </si>
  <si>
    <t>Yen appreciation, 10-Jul → 5-Aug</t>
  </si>
  <si>
    <t>Compare with the ~11% wipe-out threshold on 1_Carry_Mechanics.</t>
  </si>
  <si>
    <t>Nikkei % move per 1% yen rally (10-Jul → 5-Aug)</t>
  </si>
  <si>
    <t>A rough 'beta' used as the default input on 4_Unwind_Spiral.</t>
  </si>
  <si>
    <t>Stylised Deleveraging Spiral: Reflexivity in Action</t>
  </si>
  <si>
    <t>Shock → yen rally → losses on yen debt → equity falls → leverage too high → sell USD assets and BUY YEN → yen rallies further → …</t>
  </si>
  <si>
    <t>Inputs (stylised, for illustration only)</t>
  </si>
  <si>
    <t>Aggregate carry positions (USD bn)</t>
  </si>
  <si>
    <t>Illustrative. Published estimates range from a few hundred billion to several trillion USD.</t>
  </si>
  <si>
    <t>Target leverage (assets / equity)</t>
  </si>
  <si>
    <t>Funds must stay at or below this leverage, so losses force sales.</t>
  </si>
  <si>
    <t>Initial shock: yen appreciation</t>
  </si>
  <si>
    <t>The combined surprise of the BOJ hike, US data and MOF intervention.</t>
  </si>
  <si>
    <t>Price impact: yen rally per USD 100bn of forced yen buying</t>
  </si>
  <si>
    <t>Market depth. Lower in thin August markets.</t>
  </si>
  <si>
    <t>Nikkei % fall per 1% yen rally</t>
  </si>
  <si>
    <t>Linked to the episode's realised ratio. Change it to a number to override.</t>
  </si>
  <si>
    <t>Starting USD/JPY (10-Jul-2024)</t>
  </si>
  <si>
    <t>Starting Nikkei 225 (10-Jul-2024)</t>
  </si>
  <si>
    <t>Implied starting equity (USD bn)</t>
  </si>
  <si>
    <t>Stability factor (impact × leverage × yen debt ÷ 100)</t>
  </si>
  <si>
    <t>Above 1, each round of selling causes a BIGGER next round, and the spiral runs until the equity is gone.</t>
  </si>
  <si>
    <t>Rounds of forced deleveraging (USD bn)</t>
  </si>
  <si>
    <t>Round</t>
  </si>
  <si>
    <t>Assets (start)</t>
  </si>
  <si>
    <t>Yen debt (start)</t>
  </si>
  <si>
    <t>Equity (start)</t>
  </si>
  <si>
    <t>Yen rally this round</t>
  </si>
  <si>
    <t>Loss on yen debt</t>
  </si>
  <si>
    <t>Equity after loss</t>
  </si>
  <si>
    <t>Target assets</t>
  </si>
  <si>
    <t>Forced unwind (buy ¥)</t>
  </si>
  <si>
    <t>Cum. yen rally</t>
  </si>
  <si>
    <t>Stylised Nikkei</t>
  </si>
  <si>
    <t>Outcome</t>
  </si>
  <si>
    <t>Total yen appreciation</t>
  </si>
  <si>
    <t>Compare: ~12% actual (10-Jul → 5-Aug close).</t>
  </si>
  <si>
    <t>Amplification multiple (total ÷ initial shock)</t>
  </si>
  <si>
    <t>How much the spiral magnified the original news.</t>
  </si>
  <si>
    <t>Share of carry positions forcibly unwound</t>
  </si>
  <si>
    <t>Several banks estimated at the time that half or more of carry positions had been unwound by mid-August.</t>
  </si>
  <si>
    <t>Final USD/JPY</t>
  </si>
  <si>
    <t>Stylised Nikkei (final)</t>
  </si>
  <si>
    <t>Actual 5-Aug close: 31,458.</t>
  </si>
  <si>
    <t>Equity remaining (% of start)</t>
  </si>
  <si>
    <t>Survivors keep their equity but hold much smaller books.</t>
  </si>
  <si>
    <t>Try: set the price impact to 3.0%. The stability factor rises above 1 and the spiral wipes out most of the equity. Then set leverage to 3x. Lower leverage is the only thing that breaks the loop.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</si>
</sst>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;&quot;-&quot;"/>
    <numFmt numFmtId="165" formatCode="0.00%;\(0.00%\);&quot;-&quot;"/>
    <numFmt numFmtId="166" formatCode="0.0%;\(0.0%\);&quot;-&quot;"/>
    <numFmt numFmtId="167" formatCode="0.0&quot;x&quot;"/>
    <numFmt numFmtId="168" formatCode="dd\-mmm\-yyyy"/>
    <numFmt numFmtId="169" formatCode="#,##0;\(#,##0\);&quot;-&quot;"/>
    <numFmt numFmtId="170" formatCode="#,##0.0"/>
    <numFmt numFmtId="171" formatCode="#,##0.0;\(#,##0.0\);&quot;-&quot;"/>
  </numFmts>
  <fonts count="13" x14ac:knownFonts="1">
    <font>
      <sz val="11"/>
      <color theme="1"/>
      <name val="Calibri"/>
      <family val="2"/>
      <scheme val="minor"/>
    </font>
    <font>
      <b/>
      <sz val="14"/>
      <color rgb="FF1F3864"/>
      <name val="Trebuchet MS"/>
      <family val="2"/>
    </font>
    <font>
      <sz val="11"/>
      <color theme="1"/>
      <name val="Trebuchet MS"/>
      <family val="2"/>
    </font>
    <font>
      <i/>
      <sz val="10"/>
      <color rgb="FF595959"/>
      <name val="Trebuchet MS"/>
      <family val="2"/>
    </font>
    <font>
      <b/>
      <sz val="10"/>
      <color rgb="FF1F3864"/>
      <name val="Trebuchet MS"/>
      <family val="2"/>
    </font>
    <font>
      <sz val="10"/>
      <color rgb="FF000000"/>
      <name val="Trebuchet MS"/>
      <family val="2"/>
    </font>
    <font>
      <sz val="10"/>
      <color rgb="FF0000FF"/>
      <name val="Trebuchet MS"/>
      <family val="2"/>
    </font>
    <font>
      <sz val="10"/>
      <color rgb="FF008000"/>
      <name val="Trebuchet MS"/>
      <family val="2"/>
    </font>
    <font>
      <b/>
      <sz val="10"/>
      <color rgb="FFFFFFFF"/>
      <name val="Trebuchet MS"/>
      <family val="2"/>
    </font>
    <font>
      <i/>
      <sz val="9"/>
      <color rgb="FF595959"/>
      <name val="Trebuchet MS"/>
      <family val="2"/>
    </font>
    <font>
      <b/>
      <sz val="10"/>
      <name val="Trebuchet MS"/>
      <family val="2"/>
    </font>
    <font>
      <b/>
      <sz val="10"/>
      <color rgb="FF000000"/>
      <name val="Trebuchet MS"/>
      <family val="2"/>
    </font>
    <font>
      <b/>
      <sz val="10"/>
      <color rgb="FF008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2" fillId="2" borderId="0" xfId="0" applyFont="1" applyFill="1"/>
    <xf numFmtId="0" fontId="8" fillId="4" borderId="0" xfId="0" applyFont="1" applyFill="1" applyAlignment="1">
      <alignment horizontal="center" vertical="center" wrapText="1"/>
    </xf>
    <xf numFmtId="0" fontId="5" fillId="0" borderId="0" xfId="0" applyFont="1"/>
    <xf numFmtId="0" fontId="9" fillId="0" borderId="0" xfId="0" applyFont="1"/>
    <xf numFmtId="164" fontId="6" fillId="3" borderId="0" xfId="0" applyNumberFormat="1" applyFont="1" applyFill="1"/>
    <xf numFmtId="165" fontId="6" fillId="0" borderId="0" xfId="0" applyNumberFormat="1" applyFont="1"/>
    <xf numFmtId="165" fontId="5" fillId="0" borderId="0" xfId="0" applyNumberFormat="1" applyFont="1"/>
    <xf numFmtId="1" fontId="6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6" fillId="3" borderId="0" xfId="0" applyFont="1" applyFill="1"/>
    <xf numFmtId="167" fontId="6" fillId="3" borderId="0" xfId="0" applyNumberFormat="1" applyFont="1" applyFill="1"/>
    <xf numFmtId="168" fontId="6" fillId="0" borderId="0" xfId="0" applyNumberFormat="1" applyFont="1"/>
    <xf numFmtId="168" fontId="6" fillId="3" borderId="0" xfId="0" applyNumberFormat="1" applyFont="1" applyFill="1"/>
    <xf numFmtId="1" fontId="5" fillId="0" borderId="0" xfId="0" applyNumberFormat="1" applyFont="1"/>
    <xf numFmtId="2" fontId="6" fillId="0" borderId="0" xfId="0" applyNumberFormat="1" applyFont="1"/>
    <xf numFmtId="2" fontId="6" fillId="3" borderId="0" xfId="0" applyNumberFormat="1" applyFont="1" applyFill="1"/>
    <xf numFmtId="166" fontId="5" fillId="0" borderId="0" xfId="0" applyNumberFormat="1" applyFont="1"/>
    <xf numFmtId="164" fontId="5" fillId="0" borderId="0" xfId="0" applyNumberFormat="1" applyFont="1"/>
    <xf numFmtId="169" fontId="5" fillId="0" borderId="0" xfId="0" applyNumberFormat="1" applyFont="1"/>
    <xf numFmtId="0" fontId="10" fillId="0" borderId="0" xfId="0" applyFont="1"/>
    <xf numFmtId="164" fontId="11" fillId="5" borderId="0" xfId="0" applyNumberFormat="1" applyFont="1" applyFill="1"/>
    <xf numFmtId="166" fontId="11" fillId="5" borderId="0" xfId="0" applyNumberFormat="1" applyFont="1" applyFill="1"/>
    <xf numFmtId="2" fontId="11" fillId="5" borderId="0" xfId="0" applyNumberFormat="1" applyFont="1" applyFill="1"/>
    <xf numFmtId="1" fontId="11" fillId="5" borderId="0" xfId="0" applyNumberFormat="1" applyFont="1" applyFill="1"/>
    <xf numFmtId="2" fontId="7" fillId="0" borderId="0" xfId="0" applyNumberFormat="1" applyFont="1"/>
    <xf numFmtId="1" fontId="7" fillId="0" borderId="0" xfId="0" applyNumberFormat="1" applyFont="1"/>
    <xf numFmtId="165" fontId="7" fillId="0" borderId="0" xfId="0" applyNumberFormat="1" applyFont="1"/>
    <xf numFmtId="167" fontId="7" fillId="0" borderId="0" xfId="0" applyNumberFormat="1" applyFont="1"/>
    <xf numFmtId="167" fontId="6" fillId="2" borderId="0" xfId="0" applyNumberFormat="1" applyFont="1" applyFill="1"/>
    <xf numFmtId="2" fontId="6" fillId="2" borderId="0" xfId="0" applyNumberFormat="1" applyFont="1" applyFill="1"/>
    <xf numFmtId="165" fontId="6" fillId="2" borderId="0" xfId="0" applyNumberFormat="1" applyFont="1" applyFill="1"/>
    <xf numFmtId="165" fontId="11" fillId="5" borderId="0" xfId="0" applyNumberFormat="1" applyFont="1" applyFill="1"/>
    <xf numFmtId="166" fontId="12" fillId="5" borderId="0" xfId="0" applyNumberFormat="1" applyFont="1" applyFill="1"/>
    <xf numFmtId="167" fontId="11" fillId="5" borderId="0" xfId="0" applyNumberFormat="1" applyFont="1" applyFill="1"/>
    <xf numFmtId="168" fontId="6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4" fontId="6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168" fontId="6" fillId="6" borderId="0" xfId="0" applyNumberFormat="1" applyFont="1" applyFill="1" applyAlignment="1">
      <alignment vertical="top"/>
    </xf>
    <xf numFmtId="2" fontId="6" fillId="6" borderId="0" xfId="0" applyNumberFormat="1" applyFont="1" applyFill="1" applyAlignment="1">
      <alignment vertical="top"/>
    </xf>
    <xf numFmtId="4" fontId="6" fillId="6" borderId="0" xfId="0" applyNumberFormat="1" applyFont="1" applyFill="1" applyAlignment="1">
      <alignment vertical="top"/>
    </xf>
    <xf numFmtId="166" fontId="5" fillId="6" borderId="0" xfId="0" applyNumberFormat="1" applyFont="1" applyFill="1" applyAlignment="1">
      <alignment vertical="top"/>
    </xf>
    <xf numFmtId="0" fontId="5" fillId="6" borderId="0" xfId="0" applyFont="1" applyFill="1" applyAlignment="1">
      <alignment vertical="top" wrapText="1"/>
    </xf>
    <xf numFmtId="3" fontId="11" fillId="5" borderId="0" xfId="0" applyNumberFormat="1" applyFont="1" applyFill="1"/>
    <xf numFmtId="3" fontId="6" fillId="3" borderId="0" xfId="0" applyNumberFormat="1" applyFont="1" applyFill="1"/>
    <xf numFmtId="166" fontId="6" fillId="3" borderId="0" xfId="0" applyNumberFormat="1" applyFont="1" applyFill="1"/>
    <xf numFmtId="165" fontId="6" fillId="3" borderId="0" xfId="0" applyNumberFormat="1" applyFont="1" applyFill="1"/>
    <xf numFmtId="4" fontId="7" fillId="0" borderId="0" xfId="0" applyNumberFormat="1" applyFont="1"/>
    <xf numFmtId="3" fontId="5" fillId="0" borderId="0" xfId="0" applyNumberFormat="1" applyFont="1"/>
    <xf numFmtId="2" fontId="11" fillId="0" borderId="0" xfId="0" applyNumberFormat="1" applyFont="1"/>
    <xf numFmtId="170" fontId="5" fillId="0" borderId="0" xfId="0" applyNumberFormat="1" applyFont="1"/>
    <xf numFmtId="171" fontId="5" fillId="0" borderId="0" xfId="0" applyNumberFormat="1" applyFont="1"/>
    <xf numFmtId="2" fontId="5" fillId="0" borderId="0" xfId="0" applyNumberFormat="1" applyFont="1"/>
    <xf numFmtId="0" fontId="9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rebuchet MS" panose="020B0603020202020204" pitchFamily="34" charset="0"/>
              </a:defRPr>
            </a:pPr>
            <a:r>
              <a:rPr lang="en-IN">
                <a:latin typeface="Trebuchet MS" panose="020B0603020202020204" pitchFamily="34" charset="0"/>
              </a:rPr>
              <a:t>Nikkei 225 (left) vs USD/JPY (right)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'3_Aug2024_Timeline'!$C$4</c:f>
              <c:strCache>
                <c:ptCount val="1"/>
                <c:pt idx="0">
                  <c:v>Nikkei 225</c:v>
                </c:pt>
              </c:strCache>
            </c:strRef>
          </c:tx>
          <c:spPr>
            <a:ln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'3_Aug2024_Timeline'!$A$5:$A$13</c:f>
              <c:numCache>
                <c:formatCode>dd\-mmm\-yyyy</c:formatCode>
                <c:ptCount val="9"/>
                <c:pt idx="0">
                  <c:v>45483</c:v>
                </c:pt>
                <c:pt idx="1">
                  <c:v>45484</c:v>
                </c:pt>
                <c:pt idx="2">
                  <c:v>45503</c:v>
                </c:pt>
                <c:pt idx="3">
                  <c:v>45504</c:v>
                </c:pt>
                <c:pt idx="4">
                  <c:v>45505</c:v>
                </c:pt>
                <c:pt idx="5">
                  <c:v>45506</c:v>
                </c:pt>
                <c:pt idx="6">
                  <c:v>45509</c:v>
                </c:pt>
                <c:pt idx="7">
                  <c:v>45510</c:v>
                </c:pt>
                <c:pt idx="8">
                  <c:v>45511</c:v>
                </c:pt>
              </c:numCache>
            </c:numRef>
          </c:cat>
          <c:val>
            <c:numRef>
              <c:f>'3_Aug2024_Timeline'!$C$5:$C$13</c:f>
              <c:numCache>
                <c:formatCode>#,##0.00</c:formatCode>
                <c:ptCount val="9"/>
                <c:pt idx="0">
                  <c:v>41831.99</c:v>
                </c:pt>
                <c:pt idx="1">
                  <c:v>42224.02</c:v>
                </c:pt>
                <c:pt idx="2">
                  <c:v>38525.949999999997</c:v>
                </c:pt>
                <c:pt idx="3">
                  <c:v>39101.82</c:v>
                </c:pt>
                <c:pt idx="4">
                  <c:v>38126.33</c:v>
                </c:pt>
                <c:pt idx="5">
                  <c:v>35909.699999999997</c:v>
                </c:pt>
                <c:pt idx="6">
                  <c:v>31458.42</c:v>
                </c:pt>
                <c:pt idx="7">
                  <c:v>34675.46</c:v>
                </c:pt>
                <c:pt idx="8">
                  <c:v>35089.620000000003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29-459A-BBD5-5FFCB6BD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'3_Aug2024_Timeline'!$B$4</c:f>
              <c:strCache>
                <c:ptCount val="1"/>
                <c:pt idx="0">
                  <c:v>USD/JPY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val>
            <c:numRef>
              <c:f>'3_Aug2024_Timeline'!$B$5:$B$13</c:f>
              <c:numCache>
                <c:formatCode>0.00</c:formatCode>
                <c:ptCount val="9"/>
                <c:pt idx="0">
                  <c:v>161.69999999999999</c:v>
                </c:pt>
                <c:pt idx="1">
                  <c:v>158.9</c:v>
                </c:pt>
                <c:pt idx="2">
                  <c:v>152.69999999999999</c:v>
                </c:pt>
                <c:pt idx="3">
                  <c:v>150</c:v>
                </c:pt>
                <c:pt idx="4">
                  <c:v>149.4</c:v>
                </c:pt>
                <c:pt idx="5">
                  <c:v>146.5</c:v>
                </c:pt>
                <c:pt idx="6">
                  <c:v>144.19999999999999</c:v>
                </c:pt>
                <c:pt idx="7">
                  <c:v>144.30000000000001</c:v>
                </c:pt>
                <c:pt idx="8">
                  <c:v>146.69999999999999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129-459A-BBD5-5FFCB6BD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dateAx>
        <c:axId val="10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Nikkei 225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USD/JPY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  <c:txPr>
        <a:bodyPr/>
        <a:lstStyle/>
        <a:p>
          <a:pPr>
            <a:defRPr>
              <a:latin typeface="Trebuchet MS" panose="020B0603020202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Trebuchet MS" panose="020B0603020202020204" pitchFamily="34" charset="0"/>
              </a:defRPr>
            </a:pPr>
            <a:r>
              <a:rPr lang="en-IN">
                <a:latin typeface="Trebuchet MS" panose="020B0603020202020204" pitchFamily="34" charset="0"/>
              </a:rPr>
              <a:t>Yen rally caused in each round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'4_Unwind_Spiral'!$E$16</c:f>
              <c:strCache>
                <c:ptCount val="1"/>
                <c:pt idx="0">
                  <c:v>Yen rally this round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numRef>
              <c:f>'4_Unwind_Spiral'!$A$17:$A$27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'4_Unwind_Spiral'!$E$17:$E$27</c:f>
              <c:numCache>
                <c:formatCode>0.00%;\(0.00%\);"-"</c:formatCode>
                <c:ptCount val="11"/>
                <c:pt idx="0">
                  <c:v>0.04</c:v>
                </c:pt>
                <c:pt idx="1">
                  <c:v>3.6000000000000004E-2</c:v>
                </c:pt>
                <c:pt idx="2">
                  <c:v>2.0736000000000004E-2</c:v>
                </c:pt>
                <c:pt idx="3">
                  <c:v>8.0741007360000082E-3</c:v>
                </c:pt>
                <c:pt idx="4">
                  <c:v>2.5571411239250553E-3</c:v>
                </c:pt>
                <c:pt idx="5">
                  <c:v>7.5101911044377523E-4</c:v>
                </c:pt>
                <c:pt idx="6">
                  <c:v>2.1549415756890654E-4</c:v>
                </c:pt>
                <c:pt idx="7">
                  <c:v>6.1415016858683199E-5</c:v>
                </c:pt>
                <c:pt idx="8">
                  <c:v>1.7469100425358874E-5</c:v>
                </c:pt>
                <c:pt idx="9">
                  <c:v>4.9662249947743929E-6</c:v>
                </c:pt>
                <c:pt idx="10">
                  <c:v>1.411607493974998E-6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FF-4F2C-9804-0CAD9CC5B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Round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Yen appreciation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28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3"/>
  <sheetViews>
    <sheetView showGridLines="0" tabSelected="1" workbookViewId="0"/>
  </sheetViews>
  <sheetFormatPr defaultRowHeight="14.5" x14ac:dyDescent="0.35"/>
  <cols>
    <col min="1" max="1" width="4" style="2" customWidth="1"/>
    <col min="2" max="2" width="120" style="2" customWidth="1"/>
    <col min="3" max="16384" width="8.7265625" style="2"/>
  </cols>
  <sheetData>
    <row r="1" spans="2:2" ht="19" x14ac:dyDescent="0.45">
      <c r="B1" s="1" t="s">
        <v>0</v>
      </c>
    </row>
    <row r="2" spans="2:2" x14ac:dyDescent="0.35">
      <c r="B2" s="3" t="s">
        <v>1</v>
      </c>
    </row>
    <row r="5" spans="2:2" x14ac:dyDescent="0.35">
      <c r="B5" s="4" t="s">
        <v>2</v>
      </c>
    </row>
    <row r="6" spans="2:2" x14ac:dyDescent="0.35">
      <c r="B6" s="5" t="s">
        <v>3</v>
      </c>
    </row>
    <row r="7" spans="2:2" x14ac:dyDescent="0.35">
      <c r="B7" s="5" t="s">
        <v>4</v>
      </c>
    </row>
    <row r="8" spans="2:2" x14ac:dyDescent="0.35">
      <c r="B8" s="5" t="s">
        <v>5</v>
      </c>
    </row>
    <row r="9" spans="2:2" ht="27" x14ac:dyDescent="0.35">
      <c r="B9" s="5" t="s">
        <v>6</v>
      </c>
    </row>
    <row r="10" spans="2:2" x14ac:dyDescent="0.35">
      <c r="B10" s="5" t="s">
        <v>7</v>
      </c>
    </row>
    <row r="12" spans="2:2" x14ac:dyDescent="0.35">
      <c r="B12" s="4" t="s">
        <v>8</v>
      </c>
    </row>
    <row r="13" spans="2:2" ht="27" x14ac:dyDescent="0.35">
      <c r="B13" s="5" t="s">
        <v>9</v>
      </c>
    </row>
    <row r="14" spans="2:2" x14ac:dyDescent="0.35">
      <c r="B14" s="5" t="s">
        <v>10</v>
      </c>
    </row>
    <row r="15" spans="2:2" x14ac:dyDescent="0.35">
      <c r="B15" s="5" t="s">
        <v>11</v>
      </c>
    </row>
    <row r="16" spans="2:2" x14ac:dyDescent="0.35">
      <c r="B16" s="5" t="s">
        <v>12</v>
      </c>
    </row>
    <row r="18" spans="2:2" x14ac:dyDescent="0.35">
      <c r="B18" s="4" t="s">
        <v>13</v>
      </c>
    </row>
    <row r="19" spans="2:2" x14ac:dyDescent="0.35">
      <c r="B19" s="6" t="s">
        <v>14</v>
      </c>
    </row>
    <row r="20" spans="2:2" x14ac:dyDescent="0.35">
      <c r="B20" s="5" t="s">
        <v>15</v>
      </c>
    </row>
    <row r="21" spans="2:2" x14ac:dyDescent="0.35">
      <c r="B21" s="7" t="s">
        <v>16</v>
      </c>
    </row>
    <row r="22" spans="2:2" x14ac:dyDescent="0.35">
      <c r="B22" s="8" t="s">
        <v>17</v>
      </c>
    </row>
    <row r="24" spans="2:2" x14ac:dyDescent="0.35">
      <c r="B24" s="4" t="s">
        <v>18</v>
      </c>
    </row>
    <row r="25" spans="2:2" ht="27" x14ac:dyDescent="0.35">
      <c r="B25" s="5" t="s">
        <v>19</v>
      </c>
    </row>
    <row r="26" spans="2:2" ht="27" x14ac:dyDescent="0.35">
      <c r="B26" s="5" t="s">
        <v>20</v>
      </c>
    </row>
    <row r="27" spans="2:2" ht="27" x14ac:dyDescent="0.35">
      <c r="B27" s="5" t="s">
        <v>21</v>
      </c>
    </row>
    <row r="28" spans="2:2" ht="27" x14ac:dyDescent="0.35">
      <c r="B28" s="5" t="s">
        <v>22</v>
      </c>
    </row>
    <row r="29" spans="2:2" ht="27" x14ac:dyDescent="0.35">
      <c r="B29" s="5" t="s">
        <v>23</v>
      </c>
    </row>
    <row r="31" spans="2:2" x14ac:dyDescent="0.35">
      <c r="B31" s="4" t="s">
        <v>24</v>
      </c>
    </row>
    <row r="32" spans="2:2" ht="27" x14ac:dyDescent="0.35">
      <c r="B32" s="5" t="s">
        <v>25</v>
      </c>
    </row>
    <row r="33" spans="2:2" x14ac:dyDescent="0.35">
      <c r="B33" s="5" t="s">
        <v>26</v>
      </c>
    </row>
    <row r="34" spans="2:2" x14ac:dyDescent="0.35">
      <c r="B34" s="5" t="s">
        <v>27</v>
      </c>
    </row>
    <row r="35" spans="2:2" ht="27" x14ac:dyDescent="0.35">
      <c r="B35" s="5" t="s">
        <v>28</v>
      </c>
    </row>
    <row r="36" spans="2:2" x14ac:dyDescent="0.35">
      <c r="B36" s="5" t="s">
        <v>29</v>
      </c>
    </row>
    <row r="38" spans="2:2" x14ac:dyDescent="0.35">
      <c r="B38" s="4" t="s">
        <v>30</v>
      </c>
    </row>
    <row r="39" spans="2:2" ht="27" x14ac:dyDescent="0.35">
      <c r="B39" s="5" t="s">
        <v>31</v>
      </c>
    </row>
    <row r="40" spans="2:2" ht="27" x14ac:dyDescent="0.35">
      <c r="B40" s="5" t="s">
        <v>32</v>
      </c>
    </row>
    <row r="41" spans="2:2" ht="27" x14ac:dyDescent="0.35">
      <c r="B41" s="5" t="s">
        <v>33</v>
      </c>
    </row>
    <row r="42" spans="2:2" ht="27" x14ac:dyDescent="0.35">
      <c r="B42" s="5" t="s">
        <v>34</v>
      </c>
    </row>
    <row r="43" spans="2:2" ht="27" x14ac:dyDescent="0.35">
      <c r="B43" s="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"/>
  <sheetViews>
    <sheetView showGridLines="0" workbookViewId="0">
      <pane xSplit="2" ySplit="5" topLeftCell="C19" activePane="bottomRight" state="frozen"/>
      <selection pane="topRight"/>
      <selection pane="bottomLeft"/>
      <selection pane="bottomRight" activeCell="C54" sqref="C54"/>
    </sheetView>
  </sheetViews>
  <sheetFormatPr defaultRowHeight="14.5" x14ac:dyDescent="0.35"/>
  <cols>
    <col min="1" max="1" width="52" style="2" customWidth="1"/>
    <col min="2" max="2" width="14" style="2" customWidth="1"/>
    <col min="3" max="5" width="22" style="2" customWidth="1"/>
    <col min="6" max="6" width="70" style="2" customWidth="1"/>
    <col min="7" max="16384" width="8.7265625" style="2"/>
  </cols>
  <sheetData>
    <row r="1" spans="1:6" ht="19" x14ac:dyDescent="0.45">
      <c r="A1" s="1" t="s">
        <v>36</v>
      </c>
    </row>
    <row r="2" spans="1:6" x14ac:dyDescent="0.35">
      <c r="A2" s="3" t="s">
        <v>37</v>
      </c>
    </row>
    <row r="4" spans="1:6" x14ac:dyDescent="0.35">
      <c r="A4" s="4" t="s">
        <v>38</v>
      </c>
      <c r="B4" s="9"/>
      <c r="C4" s="9"/>
      <c r="D4" s="9"/>
      <c r="E4" s="9"/>
      <c r="F4" s="9"/>
    </row>
    <row r="5" spans="1:6" x14ac:dyDescent="0.35">
      <c r="A5" s="10" t="s">
        <v>39</v>
      </c>
      <c r="B5" s="10" t="s">
        <v>40</v>
      </c>
      <c r="C5" s="10" t="s">
        <v>41</v>
      </c>
      <c r="D5" s="10"/>
      <c r="E5" s="10"/>
      <c r="F5" s="10" t="s">
        <v>42</v>
      </c>
    </row>
    <row r="6" spans="1:6" x14ac:dyDescent="0.35">
      <c r="A6" s="11" t="s">
        <v>43</v>
      </c>
      <c r="B6" s="12" t="s">
        <v>44</v>
      </c>
      <c r="C6" s="13">
        <v>10</v>
      </c>
      <c r="F6" s="12" t="s">
        <v>45</v>
      </c>
    </row>
    <row r="7" spans="1:6" x14ac:dyDescent="0.35">
      <c r="A7" s="11" t="s">
        <v>46</v>
      </c>
      <c r="B7" s="12" t="s">
        <v>47</v>
      </c>
      <c r="C7" s="14">
        <v>5.2999999999999999E-2</v>
      </c>
      <c r="F7" s="12" t="s">
        <v>48</v>
      </c>
    </row>
    <row r="8" spans="1:6" x14ac:dyDescent="0.35">
      <c r="A8" s="11" t="s">
        <v>49</v>
      </c>
      <c r="B8" s="12" t="s">
        <v>47</v>
      </c>
      <c r="C8" s="14">
        <v>1E-3</v>
      </c>
      <c r="F8" s="12" t="s">
        <v>50</v>
      </c>
    </row>
    <row r="9" spans="1:6" x14ac:dyDescent="0.35">
      <c r="A9" s="11" t="s">
        <v>51</v>
      </c>
      <c r="B9" s="12" t="s">
        <v>47</v>
      </c>
      <c r="C9" s="14">
        <v>1.5E-3</v>
      </c>
      <c r="F9" s="12" t="s">
        <v>52</v>
      </c>
    </row>
    <row r="10" spans="1:6" x14ac:dyDescent="0.35">
      <c r="A10" s="11" t="s">
        <v>53</v>
      </c>
      <c r="B10" s="12" t="s">
        <v>47</v>
      </c>
      <c r="C10" s="15">
        <f>C8+C9</f>
        <v>2.5000000000000001E-3</v>
      </c>
      <c r="F10" s="12" t="s">
        <v>54</v>
      </c>
    </row>
    <row r="11" spans="1:6" x14ac:dyDescent="0.35">
      <c r="A11" s="11" t="s">
        <v>55</v>
      </c>
      <c r="B11" s="12" t="s">
        <v>56</v>
      </c>
      <c r="C11" s="16">
        <v>360</v>
      </c>
      <c r="F11" s="12" t="s">
        <v>57</v>
      </c>
    </row>
    <row r="12" spans="1:6" x14ac:dyDescent="0.35">
      <c r="A12" s="11" t="s">
        <v>58</v>
      </c>
      <c r="B12" s="12" t="s">
        <v>59</v>
      </c>
      <c r="C12" s="17">
        <v>0.05</v>
      </c>
      <c r="F12" s="12" t="s">
        <v>60</v>
      </c>
    </row>
    <row r="14" spans="1:6" x14ac:dyDescent="0.35">
      <c r="A14" s="4" t="s">
        <v>61</v>
      </c>
      <c r="B14" s="9"/>
      <c r="C14" s="9"/>
      <c r="D14" s="9"/>
      <c r="E14" s="9"/>
      <c r="F14" s="9"/>
    </row>
    <row r="15" spans="1:6" x14ac:dyDescent="0.35">
      <c r="A15" s="10" t="s">
        <v>62</v>
      </c>
      <c r="B15" s="10" t="s">
        <v>40</v>
      </c>
      <c r="C15" s="10" t="s">
        <v>63</v>
      </c>
      <c r="D15" s="10" t="s">
        <v>64</v>
      </c>
      <c r="E15" s="10" t="s">
        <v>65</v>
      </c>
      <c r="F15" s="10" t="s">
        <v>66</v>
      </c>
    </row>
    <row r="16" spans="1:6" x14ac:dyDescent="0.35">
      <c r="A16" s="11" t="s">
        <v>67</v>
      </c>
      <c r="B16" s="12"/>
      <c r="C16" s="18" t="s">
        <v>68</v>
      </c>
      <c r="D16" s="18" t="s">
        <v>69</v>
      </c>
      <c r="E16" s="19" t="s">
        <v>70</v>
      </c>
    </row>
    <row r="17" spans="1:6" x14ac:dyDescent="0.35">
      <c r="A17" s="11" t="s">
        <v>71</v>
      </c>
      <c r="B17" s="12" t="s">
        <v>72</v>
      </c>
      <c r="C17" s="20">
        <v>10</v>
      </c>
      <c r="D17" s="20">
        <v>10</v>
      </c>
      <c r="E17" s="20">
        <v>3</v>
      </c>
      <c r="F17" s="12" t="s">
        <v>73</v>
      </c>
    </row>
    <row r="18" spans="1:6" x14ac:dyDescent="0.35">
      <c r="A18" s="11" t="s">
        <v>74</v>
      </c>
      <c r="B18" s="12" t="s">
        <v>75</v>
      </c>
      <c r="C18" s="21">
        <v>45293</v>
      </c>
      <c r="D18" s="21">
        <v>45483</v>
      </c>
      <c r="E18" s="22">
        <v>45483</v>
      </c>
    </row>
    <row r="19" spans="1:6" x14ac:dyDescent="0.35">
      <c r="A19" s="11" t="s">
        <v>76</v>
      </c>
      <c r="B19" s="12" t="s">
        <v>75</v>
      </c>
      <c r="C19" s="21">
        <v>45483</v>
      </c>
      <c r="D19" s="21">
        <v>45509</v>
      </c>
      <c r="E19" s="22">
        <v>45509</v>
      </c>
    </row>
    <row r="20" spans="1:6" x14ac:dyDescent="0.35">
      <c r="A20" s="11" t="s">
        <v>77</v>
      </c>
      <c r="B20" s="12" t="s">
        <v>56</v>
      </c>
      <c r="C20" s="23">
        <f>C19-C18</f>
        <v>190</v>
      </c>
      <c r="D20" s="23">
        <f>D19-D18</f>
        <v>26</v>
      </c>
      <c r="E20" s="23">
        <f>E19-E18</f>
        <v>26</v>
      </c>
    </row>
    <row r="21" spans="1:6" x14ac:dyDescent="0.35">
      <c r="A21" s="11" t="s">
        <v>78</v>
      </c>
      <c r="B21" s="12" t="s">
        <v>79</v>
      </c>
      <c r="C21" s="24">
        <v>141</v>
      </c>
      <c r="D21" s="24">
        <v>161.69999999999999</v>
      </c>
      <c r="E21" s="25">
        <v>161.69999999999999</v>
      </c>
      <c r="F21" s="12" t="s">
        <v>80</v>
      </c>
    </row>
    <row r="22" spans="1:6" x14ac:dyDescent="0.35">
      <c r="A22" s="11" t="s">
        <v>81</v>
      </c>
      <c r="B22" s="12" t="s">
        <v>79</v>
      </c>
      <c r="C22" s="25">
        <v>161.69999999999999</v>
      </c>
      <c r="D22" s="25">
        <v>144.19999999999999</v>
      </c>
      <c r="E22" s="25">
        <v>141.69999999999999</v>
      </c>
      <c r="F22" s="12" t="s">
        <v>82</v>
      </c>
    </row>
    <row r="23" spans="1:6" x14ac:dyDescent="0.35">
      <c r="A23" s="11" t="s">
        <v>83</v>
      </c>
      <c r="B23" s="12" t="s">
        <v>59</v>
      </c>
      <c r="C23" s="26">
        <f>MAX(0,C19-DATE(2024,7,31))/C20</f>
        <v>0</v>
      </c>
      <c r="D23" s="26">
        <f>MAX(0,D19-DATE(2024,7,31))/D20</f>
        <v>0.19230769230769232</v>
      </c>
      <c r="E23" s="26">
        <f>MAX(0,E19-DATE(2024,7,31))/E20</f>
        <v>0.19230769230769232</v>
      </c>
      <c r="F23" s="12" t="s">
        <v>84</v>
      </c>
    </row>
    <row r="24" spans="1:6" x14ac:dyDescent="0.35">
      <c r="A24" s="11" t="s">
        <v>85</v>
      </c>
      <c r="B24" s="12" t="s">
        <v>47</v>
      </c>
      <c r="C24" s="15">
        <f>$C$8+$C$9*C23</f>
        <v>1E-3</v>
      </c>
      <c r="D24" s="15">
        <f>$C$8+$C$9*D23</f>
        <v>1.2884615384615385E-3</v>
      </c>
      <c r="E24" s="15">
        <f>$C$8+$C$9*E23</f>
        <v>1.2884615384615385E-3</v>
      </c>
      <c r="F24" s="12" t="s">
        <v>86</v>
      </c>
    </row>
    <row r="25" spans="1:6" x14ac:dyDescent="0.35">
      <c r="A25" s="11" t="s">
        <v>87</v>
      </c>
      <c r="B25" s="12" t="s">
        <v>47</v>
      </c>
      <c r="C25" s="15">
        <f>$C$7-C24</f>
        <v>5.1999999999999998E-2</v>
      </c>
      <c r="D25" s="15">
        <f>$C$7-D24</f>
        <v>5.1711538461538462E-2</v>
      </c>
      <c r="E25" s="15">
        <f>$C$7-E24</f>
        <v>5.1711538461538462E-2</v>
      </c>
      <c r="F25" s="12" t="s">
        <v>88</v>
      </c>
    </row>
    <row r="26" spans="1:6" x14ac:dyDescent="0.35">
      <c r="A26" s="4" t="s">
        <v>89</v>
      </c>
      <c r="B26" s="9"/>
      <c r="C26" s="9"/>
      <c r="D26" s="9"/>
      <c r="E26" s="9"/>
      <c r="F26" s="9"/>
    </row>
    <row r="27" spans="1:6" x14ac:dyDescent="0.35">
      <c r="A27" s="11" t="s">
        <v>90</v>
      </c>
      <c r="B27" s="12" t="s">
        <v>44</v>
      </c>
      <c r="C27" s="27">
        <f>$C$6*C17</f>
        <v>100</v>
      </c>
      <c r="D27" s="27">
        <f>$C$6*D17</f>
        <v>100</v>
      </c>
      <c r="E27" s="27">
        <f>$C$6*E17</f>
        <v>30</v>
      </c>
      <c r="F27" s="12" t="s">
        <v>91</v>
      </c>
    </row>
    <row r="28" spans="1:6" x14ac:dyDescent="0.35">
      <c r="A28" s="11" t="s">
        <v>92</v>
      </c>
      <c r="B28" s="12" t="s">
        <v>44</v>
      </c>
      <c r="C28" s="27">
        <f>$C$6</f>
        <v>10</v>
      </c>
      <c r="D28" s="27">
        <f>$C$6</f>
        <v>10</v>
      </c>
      <c r="E28" s="27">
        <f>$C$6</f>
        <v>10</v>
      </c>
    </row>
    <row r="29" spans="1:6" x14ac:dyDescent="0.35">
      <c r="A29" s="11" t="s">
        <v>93</v>
      </c>
      <c r="B29" s="12" t="s">
        <v>44</v>
      </c>
      <c r="C29" s="27">
        <f>C27-C28</f>
        <v>90</v>
      </c>
      <c r="D29" s="27">
        <f>D27-D28</f>
        <v>90</v>
      </c>
      <c r="E29" s="27">
        <f>E27-E28</f>
        <v>20</v>
      </c>
    </row>
    <row r="30" spans="1:6" x14ac:dyDescent="0.35">
      <c r="A30" s="11" t="s">
        <v>94</v>
      </c>
      <c r="B30" s="12" t="s">
        <v>95</v>
      </c>
      <c r="C30" s="28">
        <f>C29*C21</f>
        <v>12690</v>
      </c>
      <c r="D30" s="28">
        <f>D29*D21</f>
        <v>14552.999999999998</v>
      </c>
      <c r="E30" s="28">
        <f>E29*E21</f>
        <v>3234</v>
      </c>
      <c r="F30" s="12" t="s">
        <v>96</v>
      </c>
    </row>
    <row r="31" spans="1:6" x14ac:dyDescent="0.35">
      <c r="A31" s="4" t="s">
        <v>97</v>
      </c>
      <c r="B31" s="9"/>
      <c r="C31" s="9"/>
      <c r="D31" s="9"/>
      <c r="E31" s="9"/>
      <c r="F31" s="9"/>
    </row>
    <row r="32" spans="1:6" x14ac:dyDescent="0.35">
      <c r="A32" s="11" t="s">
        <v>98</v>
      </c>
      <c r="B32" s="12" t="s">
        <v>44</v>
      </c>
      <c r="C32" s="27">
        <f>C27*$C$7*C20/$C$11</f>
        <v>2.7972222222222221</v>
      </c>
      <c r="D32" s="27">
        <f>D27*$C$7*D20/$C$11</f>
        <v>0.38277777777777772</v>
      </c>
      <c r="E32" s="27">
        <f>E27*$C$7*E20/$C$11</f>
        <v>0.11483333333333333</v>
      </c>
    </row>
    <row r="33" spans="1:6" x14ac:dyDescent="0.35">
      <c r="A33" s="11" t="s">
        <v>99</v>
      </c>
      <c r="B33" s="12" t="s">
        <v>95</v>
      </c>
      <c r="C33" s="28">
        <f>C30*C24*C20/$C$11</f>
        <v>6.6974999999999998</v>
      </c>
      <c r="D33" s="28">
        <f>D30*D24*D20/$C$11</f>
        <v>1.3542375</v>
      </c>
      <c r="E33" s="28">
        <f>E30*E24*E20/$C$11</f>
        <v>0.30094166666666672</v>
      </c>
    </row>
    <row r="34" spans="1:6" x14ac:dyDescent="0.35">
      <c r="A34" s="11" t="s">
        <v>100</v>
      </c>
      <c r="B34" s="12" t="s">
        <v>44</v>
      </c>
      <c r="C34" s="27">
        <f>C33/C21</f>
        <v>4.7500000000000001E-2</v>
      </c>
      <c r="D34" s="27">
        <f>D33/D21</f>
        <v>8.3750000000000005E-3</v>
      </c>
      <c r="E34" s="27">
        <f>E33/E21</f>
        <v>1.8611111111111116E-3</v>
      </c>
    </row>
    <row r="35" spans="1:6" x14ac:dyDescent="0.35">
      <c r="A35" s="11" t="s">
        <v>101</v>
      </c>
      <c r="B35" s="12" t="s">
        <v>44</v>
      </c>
      <c r="C35" s="27">
        <f>C32-C34</f>
        <v>2.7497222222222222</v>
      </c>
      <c r="D35" s="27">
        <f>D32-D34</f>
        <v>0.3744027777777777</v>
      </c>
      <c r="E35" s="27">
        <f>E32-E34</f>
        <v>0.11297222222222222</v>
      </c>
      <c r="F35" s="12" t="s">
        <v>102</v>
      </c>
    </row>
    <row r="36" spans="1:6" x14ac:dyDescent="0.35">
      <c r="A36" s="4" t="s">
        <v>103</v>
      </c>
      <c r="B36" s="9"/>
      <c r="C36" s="9"/>
      <c r="D36" s="9"/>
      <c r="E36" s="9"/>
      <c r="F36" s="9"/>
    </row>
    <row r="37" spans="1:6" x14ac:dyDescent="0.35">
      <c r="A37" s="11" t="s">
        <v>104</v>
      </c>
      <c r="B37" s="12" t="s">
        <v>44</v>
      </c>
      <c r="C37" s="27">
        <f>C27+C32</f>
        <v>102.79722222222222</v>
      </c>
      <c r="D37" s="27">
        <f>D27+D32</f>
        <v>100.38277777777778</v>
      </c>
      <c r="E37" s="27">
        <f>E27+E32</f>
        <v>30.114833333333333</v>
      </c>
    </row>
    <row r="38" spans="1:6" x14ac:dyDescent="0.35">
      <c r="A38" s="11" t="s">
        <v>105</v>
      </c>
      <c r="B38" s="12" t="s">
        <v>95</v>
      </c>
      <c r="C38" s="28">
        <f>C30+C33</f>
        <v>12696.6975</v>
      </c>
      <c r="D38" s="28">
        <f>D30+D33</f>
        <v>14554.354237499998</v>
      </c>
      <c r="E38" s="28">
        <f>E30+E33</f>
        <v>3234.3009416666669</v>
      </c>
    </row>
    <row r="39" spans="1:6" x14ac:dyDescent="0.35">
      <c r="A39" s="11" t="s">
        <v>106</v>
      </c>
      <c r="B39" s="12" t="s">
        <v>44</v>
      </c>
      <c r="C39" s="27">
        <f>C38/C22</f>
        <v>78.520083487940639</v>
      </c>
      <c r="D39" s="27">
        <f>D38/D22</f>
        <v>100.93172148058252</v>
      </c>
      <c r="E39" s="27">
        <f>E38/E22</f>
        <v>22.824989002587628</v>
      </c>
      <c r="F39" s="12" t="s">
        <v>107</v>
      </c>
    </row>
    <row r="40" spans="1:6" x14ac:dyDescent="0.35">
      <c r="A40" s="11" t="s">
        <v>108</v>
      </c>
      <c r="B40" s="12" t="s">
        <v>44</v>
      </c>
      <c r="C40" s="27">
        <f>C37-C39</f>
        <v>24.277138734281579</v>
      </c>
      <c r="D40" s="27">
        <f>D37-D39</f>
        <v>-0.54894370280474902</v>
      </c>
      <c r="E40" s="27">
        <f>E37-E39</f>
        <v>7.289844330745705</v>
      </c>
      <c r="F40" s="12" t="s">
        <v>109</v>
      </c>
    </row>
    <row r="41" spans="1:6" x14ac:dyDescent="0.35">
      <c r="A41" s="29" t="s">
        <v>110</v>
      </c>
      <c r="B41" s="12" t="s">
        <v>44</v>
      </c>
      <c r="C41" s="30">
        <f>C40-$C$6</f>
        <v>14.277138734281579</v>
      </c>
      <c r="D41" s="30">
        <f>D40-$C$6</f>
        <v>-10.548943702804749</v>
      </c>
      <c r="E41" s="30">
        <f>E40-$C$6</f>
        <v>-2.710155669254295</v>
      </c>
    </row>
    <row r="42" spans="1:6" x14ac:dyDescent="0.35">
      <c r="A42" s="4" t="s">
        <v>111</v>
      </c>
      <c r="B42" s="9"/>
      <c r="C42" s="9"/>
      <c r="D42" s="9"/>
      <c r="E42" s="9"/>
      <c r="F42" s="9"/>
    </row>
    <row r="43" spans="1:6" x14ac:dyDescent="0.35">
      <c r="A43" s="11" t="s">
        <v>112</v>
      </c>
      <c r="B43" s="12" t="s">
        <v>44</v>
      </c>
      <c r="C43" s="27">
        <f>C35</f>
        <v>2.7497222222222222</v>
      </c>
      <c r="D43" s="27">
        <f>D35</f>
        <v>0.3744027777777777</v>
      </c>
      <c r="E43" s="27">
        <f>E35</f>
        <v>0.11297222222222222</v>
      </c>
    </row>
    <row r="44" spans="1:6" x14ac:dyDescent="0.35">
      <c r="A44" s="11" t="s">
        <v>113</v>
      </c>
      <c r="B44" s="12" t="s">
        <v>44</v>
      </c>
      <c r="C44" s="27">
        <f>C38/C21-C38/C22</f>
        <v>11.527416512059361</v>
      </c>
      <c r="D44" s="27">
        <f>D38/D21-D38/D22</f>
        <v>-10.923346480582538</v>
      </c>
      <c r="E44" s="27">
        <f>E38/E21-E38/E22</f>
        <v>-2.8231278914765134</v>
      </c>
      <c r="F44" s="12" t="s">
        <v>114</v>
      </c>
    </row>
    <row r="45" spans="1:6" x14ac:dyDescent="0.35">
      <c r="A45" s="11" t="s">
        <v>115</v>
      </c>
      <c r="B45" s="12" t="s">
        <v>44</v>
      </c>
      <c r="C45" s="27">
        <f>ROUND(C41-C43-C44,9)</f>
        <v>0</v>
      </c>
      <c r="D45" s="27">
        <f>ROUND(D41-D43-D44,9)</f>
        <v>0</v>
      </c>
      <c r="E45" s="27">
        <f>ROUND(E41-E43-E44,9)</f>
        <v>0</v>
      </c>
    </row>
    <row r="46" spans="1:6" x14ac:dyDescent="0.35">
      <c r="A46" s="29" t="s">
        <v>116</v>
      </c>
      <c r="B46" s="12" t="s">
        <v>59</v>
      </c>
      <c r="C46" s="31">
        <f>C41/$C$6</f>
        <v>1.4277138734281578</v>
      </c>
      <c r="D46" s="31">
        <f>D41/$C$6</f>
        <v>-1.0548943702804749</v>
      </c>
      <c r="E46" s="31">
        <f>E41/$C$6</f>
        <v>-0.2710155669254295</v>
      </c>
    </row>
    <row r="47" spans="1:6" x14ac:dyDescent="0.35">
      <c r="A47" s="29" t="s">
        <v>117</v>
      </c>
      <c r="B47" s="12" t="s">
        <v>47</v>
      </c>
      <c r="C47" s="31">
        <f>IF(C20&gt;0,C46*365/C20,0)</f>
        <v>2.742713493690935</v>
      </c>
      <c r="D47" s="31">
        <f>IF(D20&gt;0,D46*365/D20,0)</f>
        <v>-14.809094044322052</v>
      </c>
      <c r="E47" s="31">
        <f>IF(E20&gt;0,E46*365/E20,0)</f>
        <v>-3.8046416126069911</v>
      </c>
    </row>
    <row r="48" spans="1:6" x14ac:dyDescent="0.35">
      <c r="A48" s="11" t="s">
        <v>118</v>
      </c>
      <c r="B48" s="12" t="s">
        <v>59</v>
      </c>
      <c r="C48" s="26">
        <f>C21/C22-1</f>
        <v>-0.12801484230055649</v>
      </c>
      <c r="D48" s="26">
        <f>D21/D22-1</f>
        <v>0.12135922330097082</v>
      </c>
      <c r="E48" s="26">
        <f>E21/E22-1</f>
        <v>0.14114326040931546</v>
      </c>
    </row>
    <row r="49" spans="1:6" x14ac:dyDescent="0.35">
      <c r="A49" s="4" t="s">
        <v>119</v>
      </c>
      <c r="B49" s="9"/>
      <c r="C49" s="9"/>
      <c r="D49" s="9"/>
      <c r="E49" s="9"/>
      <c r="F49" s="9"/>
    </row>
    <row r="50" spans="1:6" x14ac:dyDescent="0.35">
      <c r="A50" s="29" t="s">
        <v>120</v>
      </c>
      <c r="B50" s="12" t="s">
        <v>79</v>
      </c>
      <c r="C50" s="32">
        <f>C38/(C37-$C$6)</f>
        <v>136.82195647618764</v>
      </c>
      <c r="D50" s="32">
        <f>D38/(D37-$C$6)</f>
        <v>161.03017184628339</v>
      </c>
      <c r="E50" s="32">
        <f>E38/(E37-$C$6)</f>
        <v>160.79183396995586</v>
      </c>
    </row>
    <row r="51" spans="1:6" x14ac:dyDescent="0.35">
      <c r="A51" s="29" t="s">
        <v>121</v>
      </c>
      <c r="B51" s="12" t="s">
        <v>79</v>
      </c>
      <c r="C51" s="32">
        <f>C38/(C37*(1-$C$12))</f>
        <v>130.01270314435536</v>
      </c>
      <c r="D51" s="32">
        <f>D38/(D37*(1-$C$12))</f>
        <v>152.6195351506849</v>
      </c>
      <c r="E51" s="32">
        <f>E38/(E37*(1-$C$12))</f>
        <v>113.05150751902588</v>
      </c>
      <c r="F51" s="12" t="s">
        <v>122</v>
      </c>
    </row>
    <row r="52" spans="1:6" x14ac:dyDescent="0.35">
      <c r="A52" s="29" t="s">
        <v>123</v>
      </c>
      <c r="B52" s="12" t="s">
        <v>79</v>
      </c>
      <c r="C52" s="32">
        <f>C38/C37</f>
        <v>123.51206798713757</v>
      </c>
      <c r="D52" s="32">
        <f>D38/D37</f>
        <v>144.98855839315064</v>
      </c>
      <c r="E52" s="32">
        <f>E38/E37</f>
        <v>107.39893214307457</v>
      </c>
    </row>
    <row r="53" spans="1:6" x14ac:dyDescent="0.35">
      <c r="A53" s="29" t="s">
        <v>124</v>
      </c>
      <c r="B53" s="12" t="s">
        <v>59</v>
      </c>
      <c r="C53" s="31">
        <f>C21/C52-1</f>
        <v>0.14158885279682631</v>
      </c>
      <c r="D53" s="31">
        <f>D21/D52-1</f>
        <v>0.11526041635323137</v>
      </c>
      <c r="E53" s="31">
        <f>E21/E52-1</f>
        <v>0.50560156207686213</v>
      </c>
      <c r="F53" s="12" t="s">
        <v>125</v>
      </c>
    </row>
    <row r="54" spans="1:6" x14ac:dyDescent="0.35">
      <c r="A54" s="29" t="s">
        <v>126</v>
      </c>
      <c r="B54" s="12" t="s">
        <v>56</v>
      </c>
      <c r="C54" s="33">
        <f>IF(C35&gt;0,(C29*1%)/(C35/C20),0)</f>
        <v>62.188099808061423</v>
      </c>
      <c r="D54" s="33">
        <f>IF(D35&gt;0,(D29*1%)/(D35/D20),0)</f>
        <v>62.499536298549558</v>
      </c>
      <c r="E54" s="33">
        <f>IF(E35&gt;0,(E29*1%)/(E35/E20),0)</f>
        <v>46.029014015244655</v>
      </c>
      <c r="F54" s="12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showGridLines="0" topLeftCell="A6" workbookViewId="0">
      <selection activeCell="D15" sqref="D15"/>
    </sheetView>
  </sheetViews>
  <sheetFormatPr defaultRowHeight="14.5" x14ac:dyDescent="0.35"/>
  <cols>
    <col min="1" max="1" width="34" style="2" customWidth="1"/>
    <col min="2" max="9" width="12" style="2" customWidth="1"/>
    <col min="10" max="16384" width="8.7265625" style="2"/>
  </cols>
  <sheetData>
    <row r="1" spans="1:9" ht="19" x14ac:dyDescent="0.45">
      <c r="A1" s="1" t="s">
        <v>128</v>
      </c>
    </row>
    <row r="2" spans="1:9" x14ac:dyDescent="0.35">
      <c r="A2" s="3" t="s">
        <v>129</v>
      </c>
    </row>
    <row r="4" spans="1:9" x14ac:dyDescent="0.35">
      <c r="A4" s="11" t="s">
        <v>78</v>
      </c>
      <c r="B4" s="34">
        <f>'1_Carry_Mechanics'!D21</f>
        <v>161.69999999999999</v>
      </c>
    </row>
    <row r="5" spans="1:9" x14ac:dyDescent="0.35">
      <c r="A5" s="11" t="s">
        <v>77</v>
      </c>
      <c r="B5" s="35">
        <f>'1_Carry_Mechanics'!D20</f>
        <v>26</v>
      </c>
    </row>
    <row r="6" spans="1:9" x14ac:dyDescent="0.35">
      <c r="A6" s="11" t="s">
        <v>130</v>
      </c>
      <c r="B6" s="36">
        <f>'1_Carry_Mechanics'!$C$7</f>
        <v>5.2999999999999999E-2</v>
      </c>
    </row>
    <row r="7" spans="1:9" x14ac:dyDescent="0.35">
      <c r="A7" s="11" t="s">
        <v>131</v>
      </c>
      <c r="B7" s="36">
        <f>'1_Carry_Mechanics'!D24</f>
        <v>1.2884615384615385E-3</v>
      </c>
    </row>
    <row r="8" spans="1:9" x14ac:dyDescent="0.35">
      <c r="A8" s="11" t="s">
        <v>55</v>
      </c>
      <c r="B8" s="35">
        <f>'1_Carry_Mechanics'!$C$11</f>
        <v>360</v>
      </c>
    </row>
    <row r="9" spans="1:9" x14ac:dyDescent="0.35">
      <c r="A9" s="11" t="s">
        <v>132</v>
      </c>
      <c r="B9" s="37">
        <f>'1_Carry_Mechanics'!D17</f>
        <v>10</v>
      </c>
    </row>
    <row r="10" spans="1:9" x14ac:dyDescent="0.35">
      <c r="A10" s="11" t="s">
        <v>133</v>
      </c>
      <c r="B10" s="36">
        <f>'1_Carry_Mechanics'!$C$9</f>
        <v>1.5E-3</v>
      </c>
    </row>
    <row r="12" spans="1:9" x14ac:dyDescent="0.35">
      <c r="A12" s="4" t="s">
        <v>134</v>
      </c>
      <c r="B12" s="9"/>
      <c r="C12" s="9"/>
      <c r="D12" s="9"/>
      <c r="E12" s="9"/>
      <c r="F12" s="9"/>
      <c r="G12" s="9"/>
      <c r="H12" s="9"/>
      <c r="I12" s="9"/>
    </row>
    <row r="13" spans="1:9" x14ac:dyDescent="0.35">
      <c r="A13" s="29" t="s">
        <v>135</v>
      </c>
      <c r="B13" s="38">
        <v>1</v>
      </c>
      <c r="C13" s="38">
        <v>2</v>
      </c>
      <c r="D13" s="38">
        <v>3</v>
      </c>
      <c r="E13" s="38">
        <v>5</v>
      </c>
      <c r="F13" s="38">
        <v>10</v>
      </c>
      <c r="G13" s="38">
        <v>15</v>
      </c>
      <c r="H13" s="38">
        <v>20</v>
      </c>
    </row>
    <row r="14" spans="1:9" x14ac:dyDescent="0.35">
      <c r="A14" s="39">
        <v>135</v>
      </c>
      <c r="B14" s="26">
        <f t="shared" ref="B14:H27" si="0">B$13*(1+$B$6*$B$5/$B$8)-(B$13-1)*($B$4/$A14)*(1+$B$7*$B$5/$B$8)-1</f>
        <v>3.8277777777777633E-3</v>
      </c>
      <c r="C14" s="26">
        <f t="shared" si="0"/>
        <v>-0.19023368209876534</v>
      </c>
      <c r="D14" s="26">
        <f t="shared" si="0"/>
        <v>-0.38429514197530823</v>
      </c>
      <c r="E14" s="26">
        <f t="shared" si="0"/>
        <v>-0.77241806172839489</v>
      </c>
      <c r="F14" s="26">
        <f t="shared" si="0"/>
        <v>-1.7427253611111091</v>
      </c>
      <c r="G14" s="26">
        <f t="shared" si="0"/>
        <v>-2.7130326604938286</v>
      </c>
      <c r="H14" s="26">
        <f t="shared" si="0"/>
        <v>-3.6833399598765446</v>
      </c>
    </row>
    <row r="15" spans="1:9" x14ac:dyDescent="0.35">
      <c r="A15" s="39">
        <v>137.5</v>
      </c>
      <c r="B15" s="26">
        <f t="shared" si="0"/>
        <v>3.8277777777777633E-3</v>
      </c>
      <c r="C15" s="26">
        <f t="shared" si="0"/>
        <v>-0.16845387777777776</v>
      </c>
      <c r="D15" s="26">
        <f t="shared" si="0"/>
        <v>-0.34073553333333306</v>
      </c>
      <c r="E15" s="26">
        <f t="shared" si="0"/>
        <v>-0.68529884444444455</v>
      </c>
      <c r="F15" s="26">
        <f t="shared" si="0"/>
        <v>-1.5467071222222231</v>
      </c>
      <c r="G15" s="26">
        <f t="shared" si="0"/>
        <v>-2.408115399999998</v>
      </c>
      <c r="H15" s="26">
        <f t="shared" si="0"/>
        <v>-3.2695236777777765</v>
      </c>
    </row>
    <row r="16" spans="1:9" x14ac:dyDescent="0.35">
      <c r="A16" s="39">
        <v>140</v>
      </c>
      <c r="B16" s="26">
        <f t="shared" si="0"/>
        <v>3.8277777777777633E-3</v>
      </c>
      <c r="C16" s="26">
        <f t="shared" si="0"/>
        <v>-0.14745192361111115</v>
      </c>
      <c r="D16" s="26">
        <f t="shared" si="0"/>
        <v>-0.29873162499999983</v>
      </c>
      <c r="E16" s="26">
        <f t="shared" si="0"/>
        <v>-0.6012910277777781</v>
      </c>
      <c r="F16" s="26">
        <f t="shared" si="0"/>
        <v>-1.3576895347222226</v>
      </c>
      <c r="G16" s="26">
        <f t="shared" si="0"/>
        <v>-2.1140880416666707</v>
      </c>
      <c r="H16" s="26">
        <f t="shared" si="0"/>
        <v>-2.8704865486111153</v>
      </c>
    </row>
    <row r="17" spans="1:9" x14ac:dyDescent="0.35">
      <c r="A17" s="39">
        <v>142.5</v>
      </c>
      <c r="B17" s="26">
        <f t="shared" si="0"/>
        <v>3.8277777777777633E-3</v>
      </c>
      <c r="C17" s="26">
        <f t="shared" si="0"/>
        <v>-0.12718688011695911</v>
      </c>
      <c r="D17" s="26">
        <f t="shared" si="0"/>
        <v>-0.25820153801169576</v>
      </c>
      <c r="E17" s="26">
        <f t="shared" si="0"/>
        <v>-0.52023085380116996</v>
      </c>
      <c r="F17" s="26">
        <f t="shared" si="0"/>
        <v>-1.1753041432748539</v>
      </c>
      <c r="G17" s="26">
        <f t="shared" si="0"/>
        <v>-1.8303774327485378</v>
      </c>
      <c r="H17" s="26">
        <f t="shared" si="0"/>
        <v>-2.4854507222222217</v>
      </c>
    </row>
    <row r="18" spans="1:9" x14ac:dyDescent="0.35">
      <c r="A18" s="39">
        <v>145</v>
      </c>
      <c r="B18" s="26">
        <f t="shared" si="0"/>
        <v>3.8277777777777633E-3</v>
      </c>
      <c r="C18" s="26">
        <f t="shared" si="0"/>
        <v>-0.1076206312260537</v>
      </c>
      <c r="D18" s="26">
        <f t="shared" si="0"/>
        <v>-0.21906904022988494</v>
      </c>
      <c r="E18" s="26">
        <f t="shared" si="0"/>
        <v>-0.4419658582375483</v>
      </c>
      <c r="F18" s="26">
        <f t="shared" si="0"/>
        <v>-0.99920790325670694</v>
      </c>
      <c r="G18" s="26">
        <f t="shared" si="0"/>
        <v>-1.556449948275862</v>
      </c>
      <c r="H18" s="26">
        <f t="shared" si="0"/>
        <v>-2.1136919932950171</v>
      </c>
    </row>
    <row r="19" spans="1:9" x14ac:dyDescent="0.35">
      <c r="A19" s="39">
        <v>147.5</v>
      </c>
      <c r="B19" s="26">
        <f t="shared" si="0"/>
        <v>3.8277777777777633E-3</v>
      </c>
      <c r="C19" s="26">
        <f t="shared" si="0"/>
        <v>-8.8717645009416035E-2</v>
      </c>
      <c r="D19" s="26">
        <f t="shared" si="0"/>
        <v>-0.18126306779660961</v>
      </c>
      <c r="E19" s="26">
        <f t="shared" si="0"/>
        <v>-0.36635391337099765</v>
      </c>
      <c r="F19" s="26">
        <f t="shared" si="0"/>
        <v>-0.82908102730696775</v>
      </c>
      <c r="G19" s="26">
        <f t="shared" si="0"/>
        <v>-1.291808141242937</v>
      </c>
      <c r="H19" s="26">
        <f t="shared" si="0"/>
        <v>-1.754535255178908</v>
      </c>
    </row>
    <row r="20" spans="1:9" x14ac:dyDescent="0.35">
      <c r="A20" s="39">
        <v>150</v>
      </c>
      <c r="B20" s="26">
        <f t="shared" si="0"/>
        <v>3.8277777777777633E-3</v>
      </c>
      <c r="C20" s="26">
        <f t="shared" si="0"/>
        <v>-7.0444758333333191E-2</v>
      </c>
      <c r="D20" s="26">
        <f t="shared" si="0"/>
        <v>-0.14471729444444392</v>
      </c>
      <c r="E20" s="26">
        <f t="shared" si="0"/>
        <v>-0.29326236666666627</v>
      </c>
      <c r="F20" s="26">
        <f t="shared" si="0"/>
        <v>-0.66462504722222171</v>
      </c>
      <c r="G20" s="26">
        <f t="shared" si="0"/>
        <v>-1.035987727777778</v>
      </c>
      <c r="H20" s="26">
        <f t="shared" si="0"/>
        <v>-1.4073504083333326</v>
      </c>
    </row>
    <row r="21" spans="1:9" x14ac:dyDescent="0.35">
      <c r="A21" s="39">
        <v>152.5</v>
      </c>
      <c r="B21" s="26">
        <f t="shared" si="0"/>
        <v>3.8277777777777633E-3</v>
      </c>
      <c r="C21" s="26">
        <f t="shared" si="0"/>
        <v>-5.2770982695810487E-2</v>
      </c>
      <c r="D21" s="26">
        <f t="shared" si="0"/>
        <v>-0.10936974316939851</v>
      </c>
      <c r="E21" s="26">
        <f t="shared" si="0"/>
        <v>-0.22256726411657546</v>
      </c>
      <c r="F21" s="26">
        <f t="shared" si="0"/>
        <v>-0.5055610664845176</v>
      </c>
      <c r="G21" s="26">
        <f t="shared" si="0"/>
        <v>-0.78855486885245796</v>
      </c>
      <c r="H21" s="26">
        <f t="shared" si="0"/>
        <v>-1.0715486712204019</v>
      </c>
    </row>
    <row r="22" spans="1:9" x14ac:dyDescent="0.35">
      <c r="A22" s="39">
        <v>155</v>
      </c>
      <c r="B22" s="26">
        <f t="shared" si="0"/>
        <v>3.8277777777777633E-3</v>
      </c>
      <c r="C22" s="26">
        <f t="shared" si="0"/>
        <v>-3.5667328853046687E-2</v>
      </c>
      <c r="D22" s="26">
        <f t="shared" si="0"/>
        <v>-7.5162435483870915E-2</v>
      </c>
      <c r="E22" s="26">
        <f t="shared" si="0"/>
        <v>-0.15415264874552026</v>
      </c>
      <c r="F22" s="26">
        <f t="shared" si="0"/>
        <v>-0.35162818189964185</v>
      </c>
      <c r="G22" s="26">
        <f t="shared" si="0"/>
        <v>-0.54910371505376432</v>
      </c>
      <c r="H22" s="26">
        <f t="shared" si="0"/>
        <v>-0.74657924820788679</v>
      </c>
    </row>
    <row r="23" spans="1:9" x14ac:dyDescent="0.35">
      <c r="A23" s="39">
        <v>157.5</v>
      </c>
      <c r="B23" s="26">
        <f t="shared" si="0"/>
        <v>3.8277777777777633E-3</v>
      </c>
      <c r="C23" s="26">
        <f t="shared" si="0"/>
        <v>-1.9106648148148109E-2</v>
      </c>
      <c r="D23" s="26">
        <f t="shared" si="0"/>
        <v>-4.2041074074073759E-2</v>
      </c>
      <c r="E23" s="26">
        <f t="shared" si="0"/>
        <v>-8.7909925925925947E-2</v>
      </c>
      <c r="F23" s="26">
        <f t="shared" si="0"/>
        <v>-0.2025820555555562</v>
      </c>
      <c r="G23" s="26">
        <f t="shared" si="0"/>
        <v>-0.31725418518518644</v>
      </c>
      <c r="H23" s="26">
        <f t="shared" si="0"/>
        <v>-0.43192631481481314</v>
      </c>
    </row>
    <row r="24" spans="1:9" x14ac:dyDescent="0.35">
      <c r="A24" s="39">
        <v>160</v>
      </c>
      <c r="B24" s="26">
        <f t="shared" si="0"/>
        <v>3.8277777777777633E-3</v>
      </c>
      <c r="C24" s="26">
        <f t="shared" si="0"/>
        <v>-3.0634887152778401E-3</v>
      </c>
      <c r="D24" s="26">
        <f t="shared" si="0"/>
        <v>-9.9547552083332214E-3</v>
      </c>
      <c r="E24" s="26">
        <f t="shared" si="0"/>
        <v>-2.3737288194444872E-2</v>
      </c>
      <c r="F24" s="26">
        <f t="shared" si="0"/>
        <v>-5.8193620659722001E-2</v>
      </c>
      <c r="G24" s="26">
        <f t="shared" si="0"/>
        <v>-9.2649953124999129E-2</v>
      </c>
      <c r="H24" s="26">
        <f t="shared" si="0"/>
        <v>-0.12710628559027626</v>
      </c>
    </row>
    <row r="25" spans="1:9" x14ac:dyDescent="0.35">
      <c r="A25" s="39">
        <v>161.69999999999999</v>
      </c>
      <c r="B25" s="26">
        <f t="shared" si="0"/>
        <v>3.8277777777777633E-3</v>
      </c>
      <c r="C25" s="26">
        <f t="shared" si="0"/>
        <v>7.5624999999999165E-3</v>
      </c>
      <c r="D25" s="26">
        <f t="shared" si="0"/>
        <v>1.1297222222222292E-2</v>
      </c>
      <c r="E25" s="26">
        <f t="shared" si="0"/>
        <v>1.8766666666666154E-2</v>
      </c>
      <c r="F25" s="26">
        <f t="shared" si="0"/>
        <v>3.7440277777776032E-2</v>
      </c>
      <c r="G25" s="26">
        <f t="shared" si="0"/>
        <v>5.6113888888887686E-2</v>
      </c>
      <c r="H25" s="26">
        <f t="shared" si="0"/>
        <v>7.4787499999999341E-2</v>
      </c>
    </row>
    <row r="26" spans="1:9" x14ac:dyDescent="0.35">
      <c r="A26" s="39">
        <v>165</v>
      </c>
      <c r="B26" s="26">
        <f t="shared" si="0"/>
        <v>3.8277777777777633E-3</v>
      </c>
      <c r="C26" s="26">
        <f t="shared" si="0"/>
        <v>2.7564361111111157E-2</v>
      </c>
      <c r="D26" s="26">
        <f t="shared" si="0"/>
        <v>5.1300944444444552E-2</v>
      </c>
      <c r="E26" s="26">
        <f t="shared" si="0"/>
        <v>9.8774111111110674E-2</v>
      </c>
      <c r="F26" s="26">
        <f t="shared" si="0"/>
        <v>0.21745702777777609</v>
      </c>
      <c r="G26" s="26">
        <f t="shared" si="0"/>
        <v>0.3361399444444455</v>
      </c>
      <c r="H26" s="26">
        <f t="shared" si="0"/>
        <v>0.45482286111110781</v>
      </c>
    </row>
    <row r="27" spans="1:9" x14ac:dyDescent="0.35">
      <c r="A27" s="39">
        <v>167.5</v>
      </c>
      <c r="B27" s="26">
        <f t="shared" si="0"/>
        <v>3.8277777777777633E-3</v>
      </c>
      <c r="C27" s="26">
        <f t="shared" si="0"/>
        <v>4.2192587893864042E-2</v>
      </c>
      <c r="D27" s="26">
        <f t="shared" si="0"/>
        <v>8.0557398009950543E-2</v>
      </c>
      <c r="E27" s="26">
        <f t="shared" si="0"/>
        <v>0.15728701824212266</v>
      </c>
      <c r="F27" s="26">
        <f t="shared" si="0"/>
        <v>0.34911106882255361</v>
      </c>
      <c r="G27" s="26">
        <f t="shared" si="0"/>
        <v>0.54093511940298455</v>
      </c>
      <c r="H27" s="26">
        <f t="shared" si="0"/>
        <v>0.73275916998341728</v>
      </c>
    </row>
    <row r="28" spans="1:9" x14ac:dyDescent="0.35">
      <c r="A28" s="12" t="s">
        <v>136</v>
      </c>
    </row>
    <row r="30" spans="1:9" x14ac:dyDescent="0.35">
      <c r="A30" s="4" t="s">
        <v>137</v>
      </c>
      <c r="B30" s="9"/>
      <c r="C30" s="9"/>
      <c r="D30" s="9"/>
      <c r="E30" s="9"/>
      <c r="F30" s="9"/>
      <c r="G30" s="9"/>
      <c r="H30" s="9"/>
      <c r="I30" s="9"/>
    </row>
    <row r="31" spans="1:9" x14ac:dyDescent="0.35">
      <c r="A31" s="29" t="s">
        <v>138</v>
      </c>
      <c r="B31" s="40">
        <v>0.03</v>
      </c>
      <c r="C31" s="40">
        <v>0.04</v>
      </c>
      <c r="D31" s="40">
        <v>4.4999999999999998E-2</v>
      </c>
      <c r="E31" s="40">
        <v>0.05</v>
      </c>
      <c r="F31" s="40">
        <v>5.2999999999999999E-2</v>
      </c>
      <c r="G31" s="40">
        <v>5.5E-2</v>
      </c>
    </row>
    <row r="32" spans="1:9" x14ac:dyDescent="0.35">
      <c r="A32" s="40">
        <v>0</v>
      </c>
      <c r="B32" s="26">
        <f t="shared" ref="B32:G38" si="1">$B$9*B$31-($B$9-1)*$A32</f>
        <v>0.3</v>
      </c>
      <c r="C32" s="26">
        <f t="shared" si="1"/>
        <v>0.4</v>
      </c>
      <c r="D32" s="26">
        <f t="shared" si="1"/>
        <v>0.44999999999999996</v>
      </c>
      <c r="E32" s="26">
        <f t="shared" si="1"/>
        <v>0.5</v>
      </c>
      <c r="F32" s="26">
        <f t="shared" si="1"/>
        <v>0.53</v>
      </c>
      <c r="G32" s="26">
        <f t="shared" si="1"/>
        <v>0.55000000000000004</v>
      </c>
    </row>
    <row r="33" spans="1:9" x14ac:dyDescent="0.35">
      <c r="A33" s="40">
        <v>1E-3</v>
      </c>
      <c r="B33" s="26">
        <f t="shared" si="1"/>
        <v>0.29099999999999998</v>
      </c>
      <c r="C33" s="26">
        <f t="shared" si="1"/>
        <v>0.39100000000000001</v>
      </c>
      <c r="D33" s="26">
        <f t="shared" si="1"/>
        <v>0.44099999999999995</v>
      </c>
      <c r="E33" s="26">
        <f t="shared" si="1"/>
        <v>0.49099999999999999</v>
      </c>
      <c r="F33" s="26">
        <f t="shared" si="1"/>
        <v>0.52100000000000002</v>
      </c>
      <c r="G33" s="26">
        <f t="shared" si="1"/>
        <v>0.54100000000000004</v>
      </c>
    </row>
    <row r="34" spans="1:9" x14ac:dyDescent="0.35">
      <c r="A34" s="40">
        <v>2.5000000000000001E-3</v>
      </c>
      <c r="B34" s="26">
        <f t="shared" si="1"/>
        <v>0.27749999999999997</v>
      </c>
      <c r="C34" s="26">
        <f t="shared" si="1"/>
        <v>0.3775</v>
      </c>
      <c r="D34" s="26">
        <f t="shared" si="1"/>
        <v>0.42749999999999994</v>
      </c>
      <c r="E34" s="26">
        <f t="shared" si="1"/>
        <v>0.47749999999999998</v>
      </c>
      <c r="F34" s="26">
        <f t="shared" si="1"/>
        <v>0.50750000000000006</v>
      </c>
      <c r="G34" s="26">
        <f t="shared" si="1"/>
        <v>0.52750000000000008</v>
      </c>
    </row>
    <row r="35" spans="1:9" x14ac:dyDescent="0.35">
      <c r="A35" s="40">
        <v>5.0000000000000001E-3</v>
      </c>
      <c r="B35" s="26">
        <f t="shared" si="1"/>
        <v>0.255</v>
      </c>
      <c r="C35" s="26">
        <f t="shared" si="1"/>
        <v>0.35500000000000004</v>
      </c>
      <c r="D35" s="26">
        <f t="shared" si="1"/>
        <v>0.40499999999999997</v>
      </c>
      <c r="E35" s="26">
        <f t="shared" si="1"/>
        <v>0.45500000000000002</v>
      </c>
      <c r="F35" s="26">
        <f t="shared" si="1"/>
        <v>0.48500000000000004</v>
      </c>
      <c r="G35" s="26">
        <f t="shared" si="1"/>
        <v>0.505</v>
      </c>
    </row>
    <row r="36" spans="1:9" x14ac:dyDescent="0.35">
      <c r="A36" s="40">
        <v>7.4999999999999997E-3</v>
      </c>
      <c r="B36" s="26">
        <f t="shared" si="1"/>
        <v>0.23249999999999998</v>
      </c>
      <c r="C36" s="26">
        <f t="shared" si="1"/>
        <v>0.33250000000000002</v>
      </c>
      <c r="D36" s="26">
        <f t="shared" si="1"/>
        <v>0.38249999999999995</v>
      </c>
      <c r="E36" s="26">
        <f t="shared" si="1"/>
        <v>0.4325</v>
      </c>
      <c r="F36" s="26">
        <f t="shared" si="1"/>
        <v>0.46250000000000002</v>
      </c>
      <c r="G36" s="26">
        <f t="shared" si="1"/>
        <v>0.48250000000000004</v>
      </c>
    </row>
    <row r="37" spans="1:9" x14ac:dyDescent="0.35">
      <c r="A37" s="40">
        <v>0.01</v>
      </c>
      <c r="B37" s="26">
        <f t="shared" si="1"/>
        <v>0.21</v>
      </c>
      <c r="C37" s="26">
        <f t="shared" si="1"/>
        <v>0.31000000000000005</v>
      </c>
      <c r="D37" s="26">
        <f t="shared" si="1"/>
        <v>0.36</v>
      </c>
      <c r="E37" s="26">
        <f t="shared" si="1"/>
        <v>0.41000000000000003</v>
      </c>
      <c r="F37" s="26">
        <f t="shared" si="1"/>
        <v>0.44000000000000006</v>
      </c>
      <c r="G37" s="26">
        <f t="shared" si="1"/>
        <v>0.46000000000000008</v>
      </c>
    </row>
    <row r="38" spans="1:9" x14ac:dyDescent="0.35">
      <c r="A38" s="40">
        <v>0.02</v>
      </c>
      <c r="B38" s="26">
        <f t="shared" si="1"/>
        <v>0.12</v>
      </c>
      <c r="C38" s="26">
        <f t="shared" si="1"/>
        <v>0.22000000000000003</v>
      </c>
      <c r="D38" s="26">
        <f t="shared" si="1"/>
        <v>0.26999999999999996</v>
      </c>
      <c r="E38" s="26">
        <f t="shared" si="1"/>
        <v>0.32</v>
      </c>
      <c r="F38" s="26">
        <f t="shared" si="1"/>
        <v>0.35000000000000003</v>
      </c>
      <c r="G38" s="26">
        <f t="shared" si="1"/>
        <v>0.37000000000000005</v>
      </c>
    </row>
    <row r="40" spans="1:9" x14ac:dyDescent="0.35">
      <c r="A40" s="4" t="s">
        <v>139</v>
      </c>
      <c r="B40" s="9"/>
      <c r="C40" s="9"/>
      <c r="D40" s="9"/>
      <c r="E40" s="9"/>
      <c r="F40" s="9"/>
      <c r="G40" s="9"/>
      <c r="H40" s="9"/>
      <c r="I40" s="9"/>
    </row>
    <row r="41" spans="1:9" x14ac:dyDescent="0.35">
      <c r="A41" s="11" t="s">
        <v>140</v>
      </c>
      <c r="B41" s="41">
        <f>($B$9-1)*$B$10</f>
        <v>1.35E-2</v>
      </c>
      <c r="C41" s="12" t="s">
        <v>141</v>
      </c>
    </row>
    <row r="42" spans="1:9" x14ac:dyDescent="0.35">
      <c r="A42" s="11" t="s">
        <v>142</v>
      </c>
      <c r="B42" s="41">
        <f>($B$9-1)*1%</f>
        <v>0.09</v>
      </c>
      <c r="C42" s="12" t="s">
        <v>143</v>
      </c>
    </row>
    <row r="43" spans="1:9" x14ac:dyDescent="0.35">
      <c r="A43" s="11" t="s">
        <v>144</v>
      </c>
      <c r="B43" s="42">
        <f>-'1_Carry_Mechanics'!D46+'1_Carry_Mechanics'!D35/'1_Carry_Mechanics'!$C$6</f>
        <v>1.0923346480582528</v>
      </c>
      <c r="C43" s="12" t="s">
        <v>145</v>
      </c>
    </row>
    <row r="44" spans="1:9" x14ac:dyDescent="0.35">
      <c r="A44" s="11" t="s">
        <v>146</v>
      </c>
      <c r="B44" s="43">
        <f>IF(B41&gt;0,B43/B41,0)</f>
        <v>80.913677633944644</v>
      </c>
      <c r="C44" s="12" t="s">
        <v>147</v>
      </c>
    </row>
  </sheetData>
  <conditionalFormatting sqref="B32:G38">
    <cfRule type="colorScale" priority="2">
      <colorScale>
        <cfvo type="min"/>
        <cfvo type="max"/>
        <color rgb="FFFFFFFF"/>
        <color rgb="FF63BE7B"/>
      </colorScale>
    </cfRule>
  </conditionalFormatting>
  <conditionalFormatting sqref="B14:H27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4.5" x14ac:dyDescent="0.35"/>
  <cols>
    <col min="1" max="1" width="13" style="2" customWidth="1"/>
    <col min="2" max="2" width="12" style="2" customWidth="1"/>
    <col min="3" max="3" width="13" style="2" customWidth="1"/>
    <col min="4" max="5" width="12" style="2" customWidth="1"/>
    <col min="6" max="7" width="16" style="2" customWidth="1"/>
    <col min="8" max="8" width="95" style="2" customWidth="1"/>
    <col min="9" max="16384" width="8.7265625" style="2"/>
  </cols>
  <sheetData>
    <row r="1" spans="1:8" ht="19" x14ac:dyDescent="0.45">
      <c r="A1" s="1" t="s">
        <v>148</v>
      </c>
    </row>
    <row r="2" spans="1:8" x14ac:dyDescent="0.35">
      <c r="A2" s="3" t="s">
        <v>149</v>
      </c>
    </row>
    <row r="4" spans="1:8" ht="27" x14ac:dyDescent="0.35">
      <c r="A4" s="10" t="s">
        <v>150</v>
      </c>
      <c r="B4" s="10" t="s">
        <v>151</v>
      </c>
      <c r="C4" s="10" t="s">
        <v>152</v>
      </c>
      <c r="D4" s="10" t="s">
        <v>153</v>
      </c>
      <c r="E4" s="10" t="s">
        <v>154</v>
      </c>
      <c r="F4" s="10" t="s">
        <v>155</v>
      </c>
      <c r="G4" s="10" t="s">
        <v>156</v>
      </c>
      <c r="H4" s="10" t="s">
        <v>157</v>
      </c>
    </row>
    <row r="5" spans="1:8" x14ac:dyDescent="0.35">
      <c r="A5" s="44">
        <v>45483</v>
      </c>
      <c r="B5" s="45">
        <v>161.69999999999999</v>
      </c>
      <c r="C5" s="46">
        <v>41831.99</v>
      </c>
      <c r="D5" s="47"/>
      <c r="E5" s="47"/>
      <c r="F5" s="48">
        <f t="shared" ref="F5:F13" si="0">C5/$C$8-1</f>
        <v>6.9822069663253439E-2</v>
      </c>
      <c r="G5" s="48">
        <f t="shared" ref="G5:G13" si="1">$B$5/B5-1</f>
        <v>0</v>
      </c>
      <c r="H5" s="5" t="s">
        <v>158</v>
      </c>
    </row>
    <row r="6" spans="1:8" ht="27" x14ac:dyDescent="0.35">
      <c r="A6" s="44">
        <v>45484</v>
      </c>
      <c r="B6" s="45">
        <v>158.9</v>
      </c>
      <c r="C6" s="46">
        <v>42224.02</v>
      </c>
      <c r="D6" s="48">
        <f t="shared" ref="D6:E13" si="2">B6/B5-1</f>
        <v>-1.7316017316017174E-2</v>
      </c>
      <c r="E6" s="48">
        <f t="shared" si="2"/>
        <v>9.3715359943431498E-3</v>
      </c>
      <c r="F6" s="48">
        <f t="shared" si="0"/>
        <v>7.9847945696645217E-2</v>
      </c>
      <c r="G6" s="48">
        <f t="shared" si="1"/>
        <v>1.7621145374449254E-2</v>
      </c>
      <c r="H6" s="5" t="s">
        <v>159</v>
      </c>
    </row>
    <row r="7" spans="1:8" x14ac:dyDescent="0.35">
      <c r="A7" s="44">
        <v>45503</v>
      </c>
      <c r="B7" s="45">
        <v>152.69999999999999</v>
      </c>
      <c r="C7" s="46">
        <v>38525.949999999997</v>
      </c>
      <c r="D7" s="48">
        <f t="shared" si="2"/>
        <v>-3.9018250471995031E-2</v>
      </c>
      <c r="E7" s="48">
        <f t="shared" si="2"/>
        <v>-8.7582139265754422E-2</v>
      </c>
      <c r="F7" s="48">
        <f t="shared" si="0"/>
        <v>-1.4727447469197186E-2</v>
      </c>
      <c r="G7" s="48">
        <f t="shared" si="1"/>
        <v>5.8939096267190516E-2</v>
      </c>
      <c r="H7" s="5" t="s">
        <v>160</v>
      </c>
    </row>
    <row r="8" spans="1:8" ht="27" x14ac:dyDescent="0.35">
      <c r="A8" s="49">
        <v>45504</v>
      </c>
      <c r="B8" s="50">
        <v>150</v>
      </c>
      <c r="C8" s="51">
        <v>39101.82</v>
      </c>
      <c r="D8" s="52">
        <f t="shared" si="2"/>
        <v>-1.7681728880157066E-2</v>
      </c>
      <c r="E8" s="52">
        <f t="shared" si="2"/>
        <v>1.4947587275589536E-2</v>
      </c>
      <c r="F8" s="52">
        <f t="shared" si="0"/>
        <v>0</v>
      </c>
      <c r="G8" s="52">
        <f t="shared" si="1"/>
        <v>7.7999999999999847E-2</v>
      </c>
      <c r="H8" s="53" t="s">
        <v>161</v>
      </c>
    </row>
    <row r="9" spans="1:8" x14ac:dyDescent="0.35">
      <c r="A9" s="44">
        <v>45505</v>
      </c>
      <c r="B9" s="45">
        <v>149.4</v>
      </c>
      <c r="C9" s="46">
        <v>38126.33</v>
      </c>
      <c r="D9" s="48">
        <f t="shared" si="2"/>
        <v>-4.0000000000000036E-3</v>
      </c>
      <c r="E9" s="48">
        <f t="shared" si="2"/>
        <v>-2.4947432114413082E-2</v>
      </c>
      <c r="F9" s="48">
        <f t="shared" si="0"/>
        <v>-2.4947432114413082E-2</v>
      </c>
      <c r="G9" s="48">
        <f t="shared" si="1"/>
        <v>8.2329317269076219E-2</v>
      </c>
      <c r="H9" s="5" t="s">
        <v>162</v>
      </c>
    </row>
    <row r="10" spans="1:8" ht="27" x14ac:dyDescent="0.35">
      <c r="A10" s="44">
        <v>45506</v>
      </c>
      <c r="B10" s="45">
        <v>146.5</v>
      </c>
      <c r="C10" s="46">
        <v>35909.699999999997</v>
      </c>
      <c r="D10" s="48">
        <f t="shared" si="2"/>
        <v>-1.9410977242302563E-2</v>
      </c>
      <c r="E10" s="48">
        <f t="shared" si="2"/>
        <v>-5.813908655776745E-2</v>
      </c>
      <c r="F10" s="48">
        <f t="shared" si="0"/>
        <v>-8.1636097757086579E-2</v>
      </c>
      <c r="G10" s="48">
        <f t="shared" si="1"/>
        <v>0.103754266211604</v>
      </c>
      <c r="H10" s="5" t="s">
        <v>163</v>
      </c>
    </row>
    <row r="11" spans="1:8" ht="27" x14ac:dyDescent="0.35">
      <c r="A11" s="49">
        <v>45509</v>
      </c>
      <c r="B11" s="50">
        <v>144.19999999999999</v>
      </c>
      <c r="C11" s="51">
        <v>31458.42</v>
      </c>
      <c r="D11" s="52">
        <f t="shared" si="2"/>
        <v>-1.5699658703071773E-2</v>
      </c>
      <c r="E11" s="52">
        <f t="shared" si="2"/>
        <v>-0.12395759363069025</v>
      </c>
      <c r="F11" s="52">
        <f t="shared" si="0"/>
        <v>-0.19547427715640864</v>
      </c>
      <c r="G11" s="52">
        <f t="shared" si="1"/>
        <v>0.12135922330097082</v>
      </c>
      <c r="H11" s="53" t="s">
        <v>164</v>
      </c>
    </row>
    <row r="12" spans="1:8" x14ac:dyDescent="0.35">
      <c r="A12" s="44">
        <v>45510</v>
      </c>
      <c r="B12" s="45">
        <v>144.30000000000001</v>
      </c>
      <c r="C12" s="46">
        <v>34675.46</v>
      </c>
      <c r="D12" s="48">
        <f t="shared" si="2"/>
        <v>6.9348127600576959E-4</v>
      </c>
      <c r="E12" s="48">
        <f t="shared" si="2"/>
        <v>0.10226324144696397</v>
      </c>
      <c r="F12" s="48">
        <f t="shared" si="0"/>
        <v>-0.11320086891096115</v>
      </c>
      <c r="G12" s="48">
        <f t="shared" si="1"/>
        <v>0.12058212058212048</v>
      </c>
      <c r="H12" s="5" t="s">
        <v>165</v>
      </c>
    </row>
    <row r="13" spans="1:8" x14ac:dyDescent="0.35">
      <c r="A13" s="44">
        <v>45511</v>
      </c>
      <c r="B13" s="45">
        <v>146.69999999999999</v>
      </c>
      <c r="C13" s="46">
        <v>35089.620000000003</v>
      </c>
      <c r="D13" s="48">
        <f t="shared" si="2"/>
        <v>1.6632016632016411E-2</v>
      </c>
      <c r="E13" s="48">
        <f t="shared" si="2"/>
        <v>1.1943893462408317E-2</v>
      </c>
      <c r="F13" s="48">
        <f t="shared" si="0"/>
        <v>-0.10260903456667736</v>
      </c>
      <c r="G13" s="48">
        <f t="shared" si="1"/>
        <v>0.10224948875255624</v>
      </c>
      <c r="H13" s="5" t="s">
        <v>166</v>
      </c>
    </row>
    <row r="15" spans="1:8" x14ac:dyDescent="0.35">
      <c r="A15" s="4" t="s">
        <v>167</v>
      </c>
      <c r="B15" s="9"/>
      <c r="C15" s="9"/>
      <c r="D15" s="9"/>
      <c r="E15" s="9"/>
      <c r="F15" s="9"/>
      <c r="G15" s="9"/>
      <c r="H15" s="9"/>
    </row>
    <row r="16" spans="1:8" x14ac:dyDescent="0.35">
      <c r="A16" s="66" t="s">
        <v>168</v>
      </c>
      <c r="B16" s="65"/>
      <c r="C16" s="65"/>
      <c r="D16" s="31">
        <f>E11</f>
        <v>-0.12395759363069025</v>
      </c>
      <c r="E16" s="64" t="s">
        <v>169</v>
      </c>
      <c r="F16" s="65"/>
      <c r="G16" s="65"/>
      <c r="H16" s="65"/>
    </row>
    <row r="17" spans="1:8" x14ac:dyDescent="0.35">
      <c r="A17" s="66" t="s">
        <v>170</v>
      </c>
      <c r="B17" s="65"/>
      <c r="C17" s="65"/>
      <c r="D17" s="31">
        <f>C11/C8-1</f>
        <v>-0.19547427715640864</v>
      </c>
      <c r="E17" s="64" t="s">
        <v>171</v>
      </c>
      <c r="F17" s="65"/>
      <c r="G17" s="65"/>
      <c r="H17" s="65"/>
    </row>
    <row r="18" spans="1:8" x14ac:dyDescent="0.35">
      <c r="A18" s="66" t="s">
        <v>172</v>
      </c>
      <c r="B18" s="65"/>
      <c r="C18" s="65"/>
      <c r="D18" s="31">
        <f>C11/C6-1</f>
        <v>-0.254963880748446</v>
      </c>
      <c r="E18" s="64" t="s">
        <v>173</v>
      </c>
      <c r="F18" s="65"/>
      <c r="G18" s="65"/>
      <c r="H18" s="65"/>
    </row>
    <row r="19" spans="1:8" x14ac:dyDescent="0.35">
      <c r="A19" s="66" t="s">
        <v>174</v>
      </c>
      <c r="B19" s="65"/>
      <c r="C19" s="65"/>
      <c r="D19" s="31">
        <f>E12</f>
        <v>0.10226324144696397</v>
      </c>
      <c r="E19" s="64" t="s">
        <v>175</v>
      </c>
      <c r="F19" s="65"/>
      <c r="G19" s="65"/>
      <c r="H19" s="65"/>
    </row>
    <row r="20" spans="1:8" x14ac:dyDescent="0.35">
      <c r="A20" s="66" t="s">
        <v>176</v>
      </c>
      <c r="B20" s="65"/>
      <c r="C20" s="65"/>
      <c r="D20" s="54">
        <f>C11-C10</f>
        <v>-4451.2799999999988</v>
      </c>
      <c r="E20" s="64" t="s">
        <v>177</v>
      </c>
      <c r="F20" s="65"/>
      <c r="G20" s="65"/>
      <c r="H20" s="65"/>
    </row>
    <row r="21" spans="1:8" x14ac:dyDescent="0.35">
      <c r="A21" s="66" t="s">
        <v>178</v>
      </c>
      <c r="B21" s="65"/>
      <c r="C21" s="65"/>
      <c r="D21" s="31">
        <f>G11</f>
        <v>0.12135922330097082</v>
      </c>
      <c r="E21" s="64" t="s">
        <v>179</v>
      </c>
      <c r="F21" s="65"/>
      <c r="G21" s="65"/>
      <c r="H21" s="65"/>
    </row>
    <row r="22" spans="1:8" x14ac:dyDescent="0.35">
      <c r="A22" s="66" t="s">
        <v>180</v>
      </c>
      <c r="B22" s="65"/>
      <c r="C22" s="65"/>
      <c r="D22" s="43">
        <f>-(C11/C5-1)/G11</f>
        <v>2.043369603023907</v>
      </c>
      <c r="E22" s="64" t="s">
        <v>181</v>
      </c>
      <c r="F22" s="65"/>
      <c r="G22" s="65"/>
      <c r="H22" s="65"/>
    </row>
  </sheetData>
  <mergeCells count="14">
    <mergeCell ref="E16:H16"/>
    <mergeCell ref="A18:C18"/>
    <mergeCell ref="E21:H21"/>
    <mergeCell ref="A22:C22"/>
    <mergeCell ref="A21:C21"/>
    <mergeCell ref="E19:H19"/>
    <mergeCell ref="A20:C20"/>
    <mergeCell ref="A16:C16"/>
    <mergeCell ref="E22:H22"/>
    <mergeCell ref="E17:H17"/>
    <mergeCell ref="E18:H18"/>
    <mergeCell ref="A19:C19"/>
    <mergeCell ref="E20:H20"/>
    <mergeCell ref="A17:C17"/>
  </mergeCells>
  <conditionalFormatting sqref="E6:E13">
    <cfRule type="colorScale" priority="1">
      <colorScale>
        <cfvo type="num" val="-0.12"/>
        <cfvo type="num" val="0"/>
        <cfvo type="num" val="0.1"/>
        <color rgb="FFF8696B"/>
        <color rgb="FFFFFFFF"/>
        <color rgb="FF63BE7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showGridLines="0" workbookViewId="0"/>
  </sheetViews>
  <sheetFormatPr defaultRowHeight="14.5" x14ac:dyDescent="0.35"/>
  <cols>
    <col min="1" max="1" width="46" style="2" customWidth="1"/>
    <col min="2" max="12" width="13" style="2" customWidth="1"/>
    <col min="13" max="16384" width="8.7265625" style="2"/>
  </cols>
  <sheetData>
    <row r="1" spans="1:12" ht="19" x14ac:dyDescent="0.45">
      <c r="A1" s="1" t="s">
        <v>182</v>
      </c>
    </row>
    <row r="2" spans="1:12" x14ac:dyDescent="0.35">
      <c r="A2" s="3" t="s">
        <v>183</v>
      </c>
    </row>
    <row r="4" spans="1:12" x14ac:dyDescent="0.35">
      <c r="A4" s="4" t="s">
        <v>184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35">
      <c r="A5" s="11" t="s">
        <v>185</v>
      </c>
      <c r="B5" s="55">
        <v>500</v>
      </c>
      <c r="C5" s="12" t="s">
        <v>186</v>
      </c>
    </row>
    <row r="6" spans="1:12" x14ac:dyDescent="0.35">
      <c r="A6" s="11" t="s">
        <v>187</v>
      </c>
      <c r="B6" s="20">
        <v>10</v>
      </c>
      <c r="C6" s="12" t="s">
        <v>188</v>
      </c>
    </row>
    <row r="7" spans="1:12" x14ac:dyDescent="0.35">
      <c r="A7" s="11" t="s">
        <v>189</v>
      </c>
      <c r="B7" s="56">
        <v>0.04</v>
      </c>
      <c r="C7" s="12" t="s">
        <v>190</v>
      </c>
    </row>
    <row r="8" spans="1:12" x14ac:dyDescent="0.35">
      <c r="A8" s="11" t="s">
        <v>191</v>
      </c>
      <c r="B8" s="57">
        <v>0.02</v>
      </c>
      <c r="C8" s="12" t="s">
        <v>192</v>
      </c>
    </row>
    <row r="9" spans="1:12" x14ac:dyDescent="0.35">
      <c r="A9" s="11" t="s">
        <v>193</v>
      </c>
      <c r="B9" s="37">
        <f>'3_Aug2024_Timeline'!D22</f>
        <v>2.043369603023907</v>
      </c>
      <c r="C9" s="12" t="s">
        <v>194</v>
      </c>
    </row>
    <row r="10" spans="1:12" x14ac:dyDescent="0.35">
      <c r="A10" s="11" t="s">
        <v>195</v>
      </c>
      <c r="B10" s="34">
        <f>'3_Aug2024_Timeline'!B5</f>
        <v>161.69999999999999</v>
      </c>
      <c r="C10" s="12"/>
    </row>
    <row r="11" spans="1:12" x14ac:dyDescent="0.35">
      <c r="A11" s="11" t="s">
        <v>196</v>
      </c>
      <c r="B11" s="58">
        <f>'3_Aug2024_Timeline'!C5</f>
        <v>41831.99</v>
      </c>
      <c r="C11" s="12"/>
    </row>
    <row r="12" spans="1:12" x14ac:dyDescent="0.35">
      <c r="A12" s="11" t="s">
        <v>197</v>
      </c>
      <c r="B12" s="59">
        <f>B5/B6</f>
        <v>50</v>
      </c>
      <c r="C12" s="12"/>
    </row>
    <row r="13" spans="1:12" x14ac:dyDescent="0.35">
      <c r="A13" s="11" t="s">
        <v>198</v>
      </c>
      <c r="B13" s="60">
        <f>B8*B6*(B5-B12)/100</f>
        <v>0.9</v>
      </c>
      <c r="C13" s="12" t="s">
        <v>199</v>
      </c>
    </row>
    <row r="15" spans="1:12" x14ac:dyDescent="0.35">
      <c r="A15" s="4" t="s">
        <v>200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0" customHeight="1" x14ac:dyDescent="0.35">
      <c r="A16" s="10" t="s">
        <v>201</v>
      </c>
      <c r="B16" s="10" t="s">
        <v>202</v>
      </c>
      <c r="C16" s="10" t="s">
        <v>203</v>
      </c>
      <c r="D16" s="10" t="s">
        <v>204</v>
      </c>
      <c r="E16" s="10" t="s">
        <v>205</v>
      </c>
      <c r="F16" s="10" t="s">
        <v>206</v>
      </c>
      <c r="G16" s="10" t="s">
        <v>207</v>
      </c>
      <c r="H16" s="10" t="s">
        <v>208</v>
      </c>
      <c r="I16" s="10" t="s">
        <v>209</v>
      </c>
      <c r="J16" s="10" t="s">
        <v>210</v>
      </c>
      <c r="K16" s="10" t="s">
        <v>151</v>
      </c>
      <c r="L16" s="10" t="s">
        <v>211</v>
      </c>
    </row>
    <row r="17" spans="1:12" x14ac:dyDescent="0.35">
      <c r="A17" s="23">
        <v>0</v>
      </c>
      <c r="B17" s="61">
        <f>$B$5</f>
        <v>500</v>
      </c>
      <c r="C17" s="61">
        <f>B17-D17</f>
        <v>450</v>
      </c>
      <c r="D17" s="61">
        <f>$B$12</f>
        <v>50</v>
      </c>
      <c r="E17" s="15">
        <f>$B$7</f>
        <v>0.04</v>
      </c>
      <c r="F17" s="62">
        <f t="shared" ref="F17:F27" si="0">MAX(0,C17)*E17</f>
        <v>18</v>
      </c>
      <c r="G17" s="62">
        <f t="shared" ref="G17:G27" si="1">D17-F17</f>
        <v>32</v>
      </c>
      <c r="H17" s="62">
        <f t="shared" ref="H17:H27" si="2">MAX(0,$B$6*G17)</f>
        <v>320</v>
      </c>
      <c r="I17" s="62">
        <f t="shared" ref="I17:I27" si="3">MAX(0,B17-H17)</f>
        <v>180</v>
      </c>
      <c r="J17" s="26">
        <f>E17</f>
        <v>0.04</v>
      </c>
      <c r="K17" s="63">
        <f t="shared" ref="K17:K27" si="4">$B$10/(1+J17)</f>
        <v>155.48076923076923</v>
      </c>
      <c r="L17" s="59">
        <f t="shared" ref="L17:L27" si="5">MAX(0,$B$11*(1-$B$9*J17))</f>
        <v>38412.861327999999</v>
      </c>
    </row>
    <row r="18" spans="1:12" x14ac:dyDescent="0.35">
      <c r="A18" s="23">
        <v>1</v>
      </c>
      <c r="B18" s="61">
        <f t="shared" ref="B18:B27" si="6">H17</f>
        <v>320</v>
      </c>
      <c r="C18" s="61">
        <f t="shared" ref="C18:C27" si="7">C17+F17-I17</f>
        <v>288</v>
      </c>
      <c r="D18" s="61">
        <f t="shared" ref="D18:D27" si="8">G17</f>
        <v>32</v>
      </c>
      <c r="E18" s="15">
        <f t="shared" ref="E18:E27" si="9">$B$8*I17/100</f>
        <v>3.6000000000000004E-2</v>
      </c>
      <c r="F18" s="62">
        <f t="shared" si="0"/>
        <v>10.368000000000002</v>
      </c>
      <c r="G18" s="62">
        <f t="shared" si="1"/>
        <v>21.631999999999998</v>
      </c>
      <c r="H18" s="62">
        <f t="shared" si="2"/>
        <v>216.32</v>
      </c>
      <c r="I18" s="62">
        <f t="shared" si="3"/>
        <v>103.68</v>
      </c>
      <c r="J18" s="26">
        <f t="shared" ref="J18:J27" si="10">(1+J17)*(1+E18)-1</f>
        <v>7.7440000000000175E-2</v>
      </c>
      <c r="K18" s="63">
        <f t="shared" si="4"/>
        <v>150.07796257796255</v>
      </c>
      <c r="L18" s="59">
        <f t="shared" si="5"/>
        <v>35212.556891007975</v>
      </c>
    </row>
    <row r="19" spans="1:12" x14ac:dyDescent="0.35">
      <c r="A19" s="23">
        <v>2</v>
      </c>
      <c r="B19" s="61">
        <f t="shared" si="6"/>
        <v>216.32</v>
      </c>
      <c r="C19" s="61">
        <f t="shared" si="7"/>
        <v>194.68799999999999</v>
      </c>
      <c r="D19" s="61">
        <f t="shared" si="8"/>
        <v>21.631999999999998</v>
      </c>
      <c r="E19" s="15">
        <f t="shared" si="9"/>
        <v>2.0736000000000004E-2</v>
      </c>
      <c r="F19" s="62">
        <f t="shared" si="0"/>
        <v>4.0370503680000009</v>
      </c>
      <c r="G19" s="62">
        <f t="shared" si="1"/>
        <v>17.594949631999995</v>
      </c>
      <c r="H19" s="62">
        <f t="shared" si="2"/>
        <v>175.94949631999995</v>
      </c>
      <c r="I19" s="62">
        <f t="shared" si="3"/>
        <v>40.370503680000041</v>
      </c>
      <c r="J19" s="26">
        <f t="shared" si="10"/>
        <v>9.9781795840000242E-2</v>
      </c>
      <c r="K19" s="63">
        <f t="shared" si="4"/>
        <v>147.02916579601634</v>
      </c>
      <c r="L19" s="59">
        <f t="shared" si="5"/>
        <v>33302.820022495114</v>
      </c>
    </row>
    <row r="20" spans="1:12" x14ac:dyDescent="0.35">
      <c r="A20" s="23">
        <v>3</v>
      </c>
      <c r="B20" s="61">
        <f t="shared" si="6"/>
        <v>175.94949631999995</v>
      </c>
      <c r="C20" s="61">
        <f t="shared" si="7"/>
        <v>158.35454668799994</v>
      </c>
      <c r="D20" s="61">
        <f t="shared" si="8"/>
        <v>17.594949631999995</v>
      </c>
      <c r="E20" s="15">
        <f t="shared" si="9"/>
        <v>8.0741007360000082E-3</v>
      </c>
      <c r="F20" s="62">
        <f t="shared" si="0"/>
        <v>1.2785705619625281</v>
      </c>
      <c r="G20" s="62">
        <f t="shared" si="1"/>
        <v>16.316379070037467</v>
      </c>
      <c r="H20" s="62">
        <f t="shared" si="2"/>
        <v>163.16379070037468</v>
      </c>
      <c r="I20" s="62">
        <f t="shared" si="3"/>
        <v>12.785705619625276</v>
      </c>
      <c r="J20" s="26">
        <f t="shared" si="10"/>
        <v>0.10866154484723123</v>
      </c>
      <c r="K20" s="63">
        <f t="shared" si="4"/>
        <v>145.85154572334477</v>
      </c>
      <c r="L20" s="59">
        <f t="shared" si="5"/>
        <v>32543.794911725439</v>
      </c>
    </row>
    <row r="21" spans="1:12" x14ac:dyDescent="0.35">
      <c r="A21" s="23">
        <v>4</v>
      </c>
      <c r="B21" s="61">
        <f t="shared" si="6"/>
        <v>163.16379070037468</v>
      </c>
      <c r="C21" s="61">
        <f t="shared" si="7"/>
        <v>146.84741163033721</v>
      </c>
      <c r="D21" s="61">
        <f t="shared" si="8"/>
        <v>16.316379070037467</v>
      </c>
      <c r="E21" s="15">
        <f t="shared" si="9"/>
        <v>2.5571411239250553E-3</v>
      </c>
      <c r="F21" s="62">
        <f t="shared" si="0"/>
        <v>0.37550955522188573</v>
      </c>
      <c r="G21" s="62">
        <f t="shared" si="1"/>
        <v>15.940869514815581</v>
      </c>
      <c r="H21" s="62">
        <f t="shared" si="2"/>
        <v>159.4086951481558</v>
      </c>
      <c r="I21" s="62">
        <f t="shared" si="3"/>
        <v>3.7550955522188758</v>
      </c>
      <c r="J21" s="26">
        <f t="shared" si="10"/>
        <v>0.11149654887607441</v>
      </c>
      <c r="K21" s="63">
        <f t="shared" si="4"/>
        <v>145.47953402420202</v>
      </c>
      <c r="L21" s="59">
        <f t="shared" si="5"/>
        <v>32301.46382271911</v>
      </c>
    </row>
    <row r="22" spans="1:12" x14ac:dyDescent="0.35">
      <c r="A22" s="23">
        <v>5</v>
      </c>
      <c r="B22" s="61">
        <f t="shared" si="6"/>
        <v>159.4086951481558</v>
      </c>
      <c r="C22" s="61">
        <f t="shared" si="7"/>
        <v>143.46782563334023</v>
      </c>
      <c r="D22" s="61">
        <f t="shared" si="8"/>
        <v>15.940869514815581</v>
      </c>
      <c r="E22" s="15">
        <f t="shared" si="9"/>
        <v>7.5101911044377523E-4</v>
      </c>
      <c r="F22" s="62">
        <f t="shared" si="0"/>
        <v>0.10774707878445383</v>
      </c>
      <c r="G22" s="62">
        <f t="shared" si="1"/>
        <v>15.833122436031127</v>
      </c>
      <c r="H22" s="62">
        <f t="shared" si="2"/>
        <v>158.33122436031127</v>
      </c>
      <c r="I22" s="62">
        <f t="shared" si="3"/>
        <v>1.0774707878445327</v>
      </c>
      <c r="J22" s="26">
        <f t="shared" si="10"/>
        <v>0.11233130402547276</v>
      </c>
      <c r="K22" s="63">
        <f t="shared" si="4"/>
        <v>145.37035810717146</v>
      </c>
      <c r="L22" s="59">
        <f t="shared" si="5"/>
        <v>32230.110441083918</v>
      </c>
    </row>
    <row r="23" spans="1:12" x14ac:dyDescent="0.35">
      <c r="A23" s="23">
        <v>6</v>
      </c>
      <c r="B23" s="61">
        <f t="shared" si="6"/>
        <v>158.33122436031127</v>
      </c>
      <c r="C23" s="61">
        <f t="shared" si="7"/>
        <v>142.49810192428015</v>
      </c>
      <c r="D23" s="61">
        <f t="shared" si="8"/>
        <v>15.833122436031127</v>
      </c>
      <c r="E23" s="15">
        <f t="shared" si="9"/>
        <v>2.1549415756890654E-4</v>
      </c>
      <c r="F23" s="62">
        <f t="shared" si="0"/>
        <v>3.0707508429340929E-2</v>
      </c>
      <c r="G23" s="62">
        <f t="shared" si="1"/>
        <v>15.802414927601786</v>
      </c>
      <c r="H23" s="62">
        <f t="shared" si="2"/>
        <v>158.02414927601785</v>
      </c>
      <c r="I23" s="62">
        <f t="shared" si="3"/>
        <v>0.30707508429341601</v>
      </c>
      <c r="J23" s="26">
        <f t="shared" si="10"/>
        <v>0.11257100492277128</v>
      </c>
      <c r="K23" s="63">
        <f t="shared" si="4"/>
        <v>145.33903839353098</v>
      </c>
      <c r="L23" s="59">
        <f t="shared" si="5"/>
        <v>32209.621235817482</v>
      </c>
    </row>
    <row r="24" spans="1:12" x14ac:dyDescent="0.35">
      <c r="A24" s="23">
        <v>7</v>
      </c>
      <c r="B24" s="61">
        <f t="shared" si="6"/>
        <v>158.02414927601785</v>
      </c>
      <c r="C24" s="61">
        <f t="shared" si="7"/>
        <v>142.22173434841608</v>
      </c>
      <c r="D24" s="61">
        <f t="shared" si="8"/>
        <v>15.802414927601786</v>
      </c>
      <c r="E24" s="15">
        <f t="shared" si="9"/>
        <v>6.1415016858683199E-5</v>
      </c>
      <c r="F24" s="62">
        <f t="shared" si="0"/>
        <v>8.7345502126791371E-3</v>
      </c>
      <c r="G24" s="62">
        <f t="shared" si="1"/>
        <v>15.793680377389107</v>
      </c>
      <c r="H24" s="62">
        <f t="shared" si="2"/>
        <v>157.93680377389106</v>
      </c>
      <c r="I24" s="62">
        <f t="shared" si="3"/>
        <v>8.7345502126794372E-2</v>
      </c>
      <c r="J24" s="26">
        <f t="shared" si="10"/>
        <v>0.11263933348979527</v>
      </c>
      <c r="K24" s="63">
        <f t="shared" si="4"/>
        <v>145.33011294219452</v>
      </c>
      <c r="L24" s="59">
        <f t="shared" si="5"/>
        <v>32203.780631751772</v>
      </c>
    </row>
    <row r="25" spans="1:12" x14ac:dyDescent="0.35">
      <c r="A25" s="23">
        <v>8</v>
      </c>
      <c r="B25" s="61">
        <f t="shared" si="6"/>
        <v>157.93680377389106</v>
      </c>
      <c r="C25" s="61">
        <f t="shared" si="7"/>
        <v>142.14312339650195</v>
      </c>
      <c r="D25" s="61">
        <f t="shared" si="8"/>
        <v>15.793680377389107</v>
      </c>
      <c r="E25" s="15">
        <f t="shared" si="9"/>
        <v>1.7469100425358874E-5</v>
      </c>
      <c r="F25" s="62">
        <f t="shared" si="0"/>
        <v>2.483112497387671E-3</v>
      </c>
      <c r="G25" s="62">
        <f t="shared" si="1"/>
        <v>15.79119726489172</v>
      </c>
      <c r="H25" s="62">
        <f t="shared" si="2"/>
        <v>157.91197264891719</v>
      </c>
      <c r="I25" s="62">
        <f t="shared" si="3"/>
        <v>2.4831124973871965E-2</v>
      </c>
      <c r="J25" s="26">
        <f t="shared" si="10"/>
        <v>0.11265877029804927</v>
      </c>
      <c r="K25" s="63">
        <f t="shared" si="4"/>
        <v>145.32757420020624</v>
      </c>
      <c r="L25" s="59">
        <f t="shared" si="5"/>
        <v>32202.119208041935</v>
      </c>
    </row>
    <row r="26" spans="1:12" x14ac:dyDescent="0.35">
      <c r="A26" s="23">
        <v>9</v>
      </c>
      <c r="B26" s="61">
        <f t="shared" si="6"/>
        <v>157.91197264891719</v>
      </c>
      <c r="C26" s="61">
        <f t="shared" si="7"/>
        <v>142.12077538402548</v>
      </c>
      <c r="D26" s="61">
        <f t="shared" si="8"/>
        <v>15.79119726489172</v>
      </c>
      <c r="E26" s="15">
        <f t="shared" si="9"/>
        <v>4.9662249947743929E-6</v>
      </c>
      <c r="F26" s="62">
        <f t="shared" si="0"/>
        <v>7.0580374698886461E-4</v>
      </c>
      <c r="G26" s="62">
        <f t="shared" si="1"/>
        <v>15.790491461144731</v>
      </c>
      <c r="H26" s="62">
        <f t="shared" si="2"/>
        <v>157.90491461144731</v>
      </c>
      <c r="I26" s="62">
        <f t="shared" si="3"/>
        <v>7.0580374698749893E-3</v>
      </c>
      <c r="J26" s="26">
        <f t="shared" si="10"/>
        <v>0.11266429601184491</v>
      </c>
      <c r="K26" s="63">
        <f t="shared" si="4"/>
        <v>145.32685247435907</v>
      </c>
      <c r="L26" s="59">
        <f t="shared" si="5"/>
        <v>32201.646879880136</v>
      </c>
    </row>
    <row r="27" spans="1:12" x14ac:dyDescent="0.35">
      <c r="A27" s="23">
        <v>10</v>
      </c>
      <c r="B27" s="61">
        <f t="shared" si="6"/>
        <v>157.90491461144731</v>
      </c>
      <c r="C27" s="61">
        <f t="shared" si="7"/>
        <v>142.1144231503026</v>
      </c>
      <c r="D27" s="61">
        <f t="shared" si="8"/>
        <v>15.790491461144731</v>
      </c>
      <c r="E27" s="15">
        <f t="shared" si="9"/>
        <v>1.411607493974998E-6</v>
      </c>
      <c r="F27" s="62">
        <f t="shared" si="0"/>
        <v>2.0060978472090108E-4</v>
      </c>
      <c r="G27" s="62">
        <f t="shared" si="1"/>
        <v>15.790290851360011</v>
      </c>
      <c r="H27" s="62">
        <f t="shared" si="2"/>
        <v>157.9029085136001</v>
      </c>
      <c r="I27" s="62">
        <f t="shared" si="3"/>
        <v>2.0060978472145052E-3</v>
      </c>
      <c r="J27" s="26">
        <f t="shared" si="10"/>
        <v>0.11266586665710343</v>
      </c>
      <c r="K27" s="63">
        <f t="shared" si="4"/>
        <v>145.32664733017464</v>
      </c>
      <c r="L27" s="59">
        <f t="shared" si="5"/>
        <v>32201.512623924216</v>
      </c>
    </row>
    <row r="29" spans="1:12" x14ac:dyDescent="0.35">
      <c r="A29" s="4" t="s">
        <v>212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5">
      <c r="A30" s="11" t="s">
        <v>213</v>
      </c>
      <c r="B30" s="31">
        <f>J27</f>
        <v>0.11266586665710343</v>
      </c>
      <c r="C30" s="12" t="s">
        <v>214</v>
      </c>
    </row>
    <row r="31" spans="1:12" x14ac:dyDescent="0.35">
      <c r="A31" s="11" t="s">
        <v>215</v>
      </c>
      <c r="B31" s="43">
        <f>J27/B7</f>
        <v>2.8166466664275855</v>
      </c>
      <c r="C31" s="12" t="s">
        <v>216</v>
      </c>
    </row>
    <row r="32" spans="1:12" x14ac:dyDescent="0.35">
      <c r="A32" s="11" t="s">
        <v>217</v>
      </c>
      <c r="B32" s="31">
        <f>SUM(I17:I27)/B5</f>
        <v>0.68419418297279955</v>
      </c>
      <c r="C32" s="12" t="s">
        <v>218</v>
      </c>
    </row>
    <row r="33" spans="1:3" x14ac:dyDescent="0.35">
      <c r="A33" s="11" t="s">
        <v>219</v>
      </c>
      <c r="B33" s="32">
        <f>K27</f>
        <v>145.32664733017464</v>
      </c>
      <c r="C33" s="12"/>
    </row>
    <row r="34" spans="1:3" x14ac:dyDescent="0.35">
      <c r="A34" s="11" t="s">
        <v>220</v>
      </c>
      <c r="B34" s="54">
        <f>L27</f>
        <v>32201.512623924216</v>
      </c>
      <c r="C34" s="12" t="s">
        <v>221</v>
      </c>
    </row>
    <row r="35" spans="1:3" x14ac:dyDescent="0.35">
      <c r="A35" s="11" t="s">
        <v>222</v>
      </c>
      <c r="B35" s="31">
        <f>G27/B12</f>
        <v>0.31580581702720023</v>
      </c>
      <c r="C35" s="12" t="s">
        <v>223</v>
      </c>
    </row>
    <row r="37" spans="1:3" x14ac:dyDescent="0.35">
      <c r="A37" s="12" t="s">
        <v>224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1_Carry_Mechanics</vt:lpstr>
      <vt:lpstr>2_Sensitivity</vt:lpstr>
      <vt:lpstr>3_Aug2024_Timeline</vt:lpstr>
      <vt:lpstr>4_Unwind_Spiral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Kunde</cp:lastModifiedBy>
  <dcterms:created xsi:type="dcterms:W3CDTF">2026-09-25T13:20:28Z</dcterms:created>
  <dcterms:modified xsi:type="dcterms:W3CDTF">2026-10-17T01:57:16Z</dcterms:modified>
</cp:coreProperties>
</file>